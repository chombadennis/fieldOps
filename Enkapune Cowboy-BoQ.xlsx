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
    </mc:Choice>
  </mc:AlternateContent>
  <bookViews>
    <workbookView xWindow="0" yWindow="0" windowWidth="20490" windowHeight="7755"/>
  </bookViews>
  <sheets>
    <sheet name="Builder's work" sheetId="2" r:id="rId1"/>
    <sheet name="GS (2)" sheetId="8" r:id="rId2"/>
    <sheet name="PC" sheetId="7" r:id="rId3"/>
    <sheet name="Sheet1" sheetId="1" r:id="rId4"/>
  </sheets>
  <definedNames>
    <definedName name="Molem" localSheetId="1">#REF!</definedName>
    <definedName name="Molem" localSheetId="2">#REF!</definedName>
    <definedName name="Molem">#REF!</definedName>
    <definedName name="_xlnm.Print_Area" localSheetId="0">'Builder''s work'!$A$1:$F$1642</definedName>
    <definedName name="_xlnm.Print_Area" localSheetId="1">'GS (2)'!$A$1:$E$56</definedName>
    <definedName name="_xlnm.Print_Area" localSheetId="2">PC!$A$1:$F$34</definedName>
    <definedName name="_xlnm.Print_Area">#REF!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8" l="1"/>
  <c r="C18" i="8" s="1"/>
  <c r="C6" i="8"/>
  <c r="F34" i="7" l="1"/>
  <c r="E1607" i="2"/>
  <c r="F1601" i="2"/>
  <c r="F1603" i="2"/>
  <c r="F1605" i="2"/>
  <c r="F1596" i="2" l="1"/>
  <c r="F1555" i="2"/>
  <c r="F1557" i="2"/>
  <c r="F1559" i="2"/>
  <c r="F1561" i="2"/>
  <c r="F164" i="2"/>
  <c r="F178" i="2"/>
  <c r="F174" i="2"/>
  <c r="F1515" i="2"/>
  <c r="F1517" i="2" s="1"/>
  <c r="F1523" i="2" s="1"/>
  <c r="F1504" i="2"/>
  <c r="F1502" i="2"/>
  <c r="F1498" i="2"/>
  <c r="F1496" i="2"/>
  <c r="C1492" i="2"/>
  <c r="F1492" i="2" s="1"/>
  <c r="C1490" i="2"/>
  <c r="F1490" i="2" s="1"/>
  <c r="C1488" i="2"/>
  <c r="F1488" i="2" s="1"/>
  <c r="F1484" i="2"/>
  <c r="F1482" i="2"/>
  <c r="F1480" i="2"/>
  <c r="F1470" i="2"/>
  <c r="D1470" i="2"/>
  <c r="F1468" i="2"/>
  <c r="F1462" i="2"/>
  <c r="F1460" i="2"/>
  <c r="F1452" i="2"/>
  <c r="F1450" i="2"/>
  <c r="F1448" i="2"/>
  <c r="F960" i="2"/>
  <c r="F958" i="2"/>
  <c r="C1285" i="2"/>
  <c r="F1285" i="2" s="1"/>
  <c r="F1281" i="2"/>
  <c r="F1118" i="2"/>
  <c r="F1145" i="2" s="1"/>
  <c r="F1400" i="2" s="1"/>
  <c r="F1124" i="2"/>
  <c r="F1354" i="2"/>
  <c r="F1356" i="2" s="1"/>
  <c r="F1360" i="2" s="1"/>
  <c r="F1347" i="2"/>
  <c r="F1343" i="2"/>
  <c r="F1339" i="2"/>
  <c r="F1335" i="2"/>
  <c r="E1331" i="2"/>
  <c r="F1331" i="2" s="1"/>
  <c r="F1329" i="2"/>
  <c r="F1325" i="2"/>
  <c r="C1295" i="2"/>
  <c r="F1295" i="2" s="1"/>
  <c r="F1291" i="2"/>
  <c r="F1268" i="2"/>
  <c r="F1264" i="2"/>
  <c r="F1256" i="2"/>
  <c r="F1254" i="2"/>
  <c r="F1250" i="2"/>
  <c r="F1236" i="2"/>
  <c r="F1230" i="2"/>
  <c r="F1226" i="2"/>
  <c r="C1195" i="2"/>
  <c r="C1193" i="2"/>
  <c r="F1193" i="2" s="1"/>
  <c r="E1186" i="2"/>
  <c r="F1186" i="2" s="1"/>
  <c r="F1182" i="2"/>
  <c r="F1164" i="2"/>
  <c r="E1160" i="2"/>
  <c r="F1160" i="2" s="1"/>
  <c r="F1154" i="2"/>
  <c r="F1086" i="2"/>
  <c r="F1082" i="2"/>
  <c r="F1080" i="2"/>
  <c r="F1076" i="2"/>
  <c r="F1074" i="2"/>
  <c r="E1057" i="2"/>
  <c r="F1057" i="2" s="1"/>
  <c r="F1055" i="2"/>
  <c r="F1053" i="2"/>
  <c r="F1045" i="2"/>
  <c r="F1043" i="2"/>
  <c r="F1041" i="2"/>
  <c r="F1039" i="2"/>
  <c r="F952" i="2"/>
  <c r="F962" i="2" s="1"/>
  <c r="F941" i="2"/>
  <c r="F937" i="2"/>
  <c r="F933" i="2"/>
  <c r="E929" i="2"/>
  <c r="F929" i="2" s="1"/>
  <c r="F927" i="2"/>
  <c r="F923" i="2"/>
  <c r="E854" i="2"/>
  <c r="F854" i="2" s="1"/>
  <c r="C895" i="2"/>
  <c r="F895" i="2" s="1"/>
  <c r="F891" i="2"/>
  <c r="C885" i="2"/>
  <c r="F885" i="2" s="1"/>
  <c r="F881" i="2"/>
  <c r="F872" i="2"/>
  <c r="F868" i="2"/>
  <c r="F860" i="2"/>
  <c r="F858" i="2"/>
  <c r="F850" i="2"/>
  <c r="F1088" i="2" l="1"/>
  <c r="F1297" i="2"/>
  <c r="F897" i="2"/>
  <c r="F901" i="2" s="1"/>
  <c r="F1065" i="2"/>
  <c r="F1090" i="2" s="1"/>
  <c r="F1107" i="2" s="1"/>
  <c r="F1398" i="2" s="1"/>
  <c r="F1177" i="2"/>
  <c r="F1239" i="2"/>
  <c r="F1404" i="2" s="1"/>
  <c r="F1274" i="2"/>
  <c r="F1349" i="2"/>
  <c r="F1358" i="2" s="1"/>
  <c r="F1393" i="2" s="1"/>
  <c r="F1408" i="2" s="1"/>
  <c r="F874" i="2"/>
  <c r="F1510" i="2"/>
  <c r="F1521" i="2" s="1"/>
  <c r="F1473" i="2"/>
  <c r="F1519" i="2" s="1"/>
  <c r="F966" i="2"/>
  <c r="F1195" i="2"/>
  <c r="F1301" i="2"/>
  <c r="F1299" i="2"/>
  <c r="F1199" i="2"/>
  <c r="F1092" i="2"/>
  <c r="F945" i="2"/>
  <c r="F899" i="2"/>
  <c r="F1312" i="2" l="1"/>
  <c r="F1406" i="2" s="1"/>
  <c r="F1197" i="2"/>
  <c r="F1201" i="2" s="1"/>
  <c r="F1217" i="2" s="1"/>
  <c r="F1402" i="2" s="1"/>
  <c r="F947" i="2"/>
  <c r="F964" i="2" s="1"/>
  <c r="F980" i="2" s="1"/>
  <c r="F995" i="2" s="1"/>
  <c r="F1550" i="2"/>
  <c r="F910" i="2"/>
  <c r="F993" i="2" s="1"/>
  <c r="F1439" i="2" l="1"/>
  <c r="F812" i="2" l="1"/>
  <c r="F810" i="2"/>
  <c r="F808" i="2"/>
  <c r="F806" i="2"/>
  <c r="F791" i="2"/>
  <c r="C789" i="2"/>
  <c r="F789" i="2" s="1"/>
  <c r="C785" i="2"/>
  <c r="F785" i="2" s="1"/>
  <c r="F781" i="2"/>
  <c r="F779" i="2"/>
  <c r="F777" i="2"/>
  <c r="F773" i="2"/>
  <c r="F763" i="2"/>
  <c r="F757" i="2"/>
  <c r="F753" i="2"/>
  <c r="F652" i="2"/>
  <c r="C722" i="2"/>
  <c r="C720" i="2"/>
  <c r="F722" i="2" s="1"/>
  <c r="E713" i="2"/>
  <c r="F713" i="2" s="1"/>
  <c r="F709" i="2"/>
  <c r="F695" i="2"/>
  <c r="F693" i="2"/>
  <c r="E689" i="2"/>
  <c r="F689" i="2" s="1"/>
  <c r="E687" i="2"/>
  <c r="F687" i="2" s="1"/>
  <c r="F681" i="2"/>
  <c r="F660" i="2"/>
  <c r="F646" i="2"/>
  <c r="F658" i="2"/>
  <c r="F644" i="2"/>
  <c r="F614" i="2"/>
  <c r="F610" i="2"/>
  <c r="F608" i="2"/>
  <c r="F604" i="2"/>
  <c r="F602" i="2"/>
  <c r="E585" i="2"/>
  <c r="F585" i="2" s="1"/>
  <c r="F583" i="2"/>
  <c r="F581" i="2"/>
  <c r="F573" i="2"/>
  <c r="F571" i="2"/>
  <c r="F569" i="2"/>
  <c r="F567" i="2"/>
  <c r="F522" i="2"/>
  <c r="F518" i="2"/>
  <c r="F500" i="2"/>
  <c r="C506" i="2"/>
  <c r="F506" i="2" s="1"/>
  <c r="C494" i="2"/>
  <c r="F494" i="2" s="1"/>
  <c r="F490" i="2"/>
  <c r="F484" i="2"/>
  <c r="F471" i="2"/>
  <c r="F469" i="2"/>
  <c r="F463" i="2"/>
  <c r="F459" i="2"/>
  <c r="F457" i="2"/>
  <c r="F453" i="2"/>
  <c r="F449" i="2"/>
  <c r="F447" i="2"/>
  <c r="E436" i="2"/>
  <c r="F436" i="2" s="1"/>
  <c r="F434" i="2"/>
  <c r="F432" i="2"/>
  <c r="F430" i="2"/>
  <c r="F426" i="2"/>
  <c r="F424" i="2"/>
  <c r="F416" i="2"/>
  <c r="F412" i="2"/>
  <c r="F408" i="2"/>
  <c r="F404" i="2"/>
  <c r="F393" i="2"/>
  <c r="F391" i="2"/>
  <c r="F387" i="2"/>
  <c r="F383" i="2"/>
  <c r="F375" i="2"/>
  <c r="F371" i="2"/>
  <c r="F399" i="2" l="1"/>
  <c r="F477" i="2"/>
  <c r="F511" i="2"/>
  <c r="F672" i="2"/>
  <c r="F987" i="2" s="1"/>
  <c r="F704" i="2"/>
  <c r="F801" i="2"/>
  <c r="F438" i="2"/>
  <c r="F528" i="2" s="1"/>
  <c r="F616" i="2"/>
  <c r="F620" i="2" s="1"/>
  <c r="F766" i="2"/>
  <c r="F816" i="2" s="1"/>
  <c r="F593" i="2"/>
  <c r="F814" i="2"/>
  <c r="F820" i="2" s="1"/>
  <c r="F818" i="2"/>
  <c r="F726" i="2"/>
  <c r="F720" i="2"/>
  <c r="F724" i="2" s="1"/>
  <c r="F618" i="2"/>
  <c r="F524" i="2"/>
  <c r="F534" i="2" s="1"/>
  <c r="F532" i="2"/>
  <c r="F530" i="2"/>
  <c r="F526" i="2"/>
  <c r="F295" i="2"/>
  <c r="C291" i="2"/>
  <c r="F291" i="2" s="1"/>
  <c r="F279" i="2"/>
  <c r="F265" i="2"/>
  <c r="F261" i="2"/>
  <c r="F257" i="2"/>
  <c r="F249" i="2"/>
  <c r="F245" i="2"/>
  <c r="F274" i="2" l="1"/>
  <c r="F839" i="2"/>
  <c r="F991" i="2" s="1"/>
  <c r="F728" i="2"/>
  <c r="F744" i="2" s="1"/>
  <c r="F989" i="2" s="1"/>
  <c r="F635" i="2"/>
  <c r="F985" i="2" s="1"/>
  <c r="F554" i="2"/>
  <c r="F299" i="2"/>
  <c r="F281" i="2"/>
  <c r="C287" i="2"/>
  <c r="F287" i="2" s="1"/>
  <c r="F297" i="2" l="1"/>
  <c r="F1026" i="2"/>
  <c r="F301" i="2"/>
  <c r="F314" i="2" s="1"/>
  <c r="F319" i="2" l="1"/>
  <c r="F360" i="2" s="1"/>
  <c r="F170" i="2"/>
  <c r="F168" i="2"/>
  <c r="F162" i="2"/>
  <c r="F188" i="2" s="1"/>
  <c r="F126" i="2"/>
  <c r="F124" i="2"/>
  <c r="F97" i="2"/>
  <c r="F95" i="2"/>
  <c r="E93" i="2"/>
  <c r="F111" i="2"/>
  <c r="F195" i="2" l="1"/>
  <c r="F155" i="2"/>
  <c r="F193" i="2" s="1"/>
  <c r="F234" i="2" l="1"/>
  <c r="F29" i="2" l="1"/>
  <c r="F109" i="2"/>
  <c r="F105" i="2"/>
  <c r="F93" i="2"/>
  <c r="F91" i="2"/>
  <c r="F87" i="2"/>
  <c r="F69" i="2"/>
  <c r="F65" i="2"/>
  <c r="F59" i="2"/>
  <c r="F55" i="2"/>
  <c r="F51" i="2"/>
  <c r="F47" i="2"/>
  <c r="F31" i="2"/>
  <c r="F27" i="2"/>
  <c r="F15" i="2"/>
  <c r="F23" i="2"/>
  <c r="F42" i="2" l="1"/>
  <c r="F117" i="2"/>
  <c r="F80" i="2"/>
</calcChain>
</file>

<file path=xl/sharedStrings.xml><?xml version="1.0" encoding="utf-8"?>
<sst xmlns="http://schemas.openxmlformats.org/spreadsheetml/2006/main" count="1203" uniqueCount="369">
  <si>
    <t>Item</t>
  </si>
  <si>
    <t>Description</t>
  </si>
  <si>
    <t>Qty</t>
  </si>
  <si>
    <t>Unit</t>
  </si>
  <si>
    <t>Rate</t>
  </si>
  <si>
    <t>Amount</t>
  </si>
  <si>
    <t>SECTION  01: BUILDERS WORK</t>
  </si>
  <si>
    <t>A</t>
  </si>
  <si>
    <t>SM</t>
  </si>
  <si>
    <t>B</t>
  </si>
  <si>
    <t>C</t>
  </si>
  <si>
    <t>D</t>
  </si>
  <si>
    <t>E</t>
  </si>
  <si>
    <t>Page</t>
  </si>
  <si>
    <t>BILL O1: SWIMMING POOL</t>
  </si>
  <si>
    <t>ELEMENT 01: SUBSTRUCTURE</t>
  </si>
  <si>
    <t>Site preperation</t>
  </si>
  <si>
    <t>Clearing site vegetation; grubbing up roots and  filling up voids left with selected excavated material</t>
  </si>
  <si>
    <t>Top soil stripping</t>
  </si>
  <si>
    <t>Excavating vegetable soil for preservation, average 150 mm thick</t>
  </si>
  <si>
    <t>Excavations and Earthworks</t>
  </si>
  <si>
    <t>To include; trimming sides and bottoms to approval;</t>
  </si>
  <si>
    <t>Excavating Surface to reduce level.</t>
  </si>
  <si>
    <t>Average 250mm deep</t>
  </si>
  <si>
    <t>Not exceeding 1.50m deep</t>
  </si>
  <si>
    <t>CM</t>
  </si>
  <si>
    <t>Excavating for pits; starting from reduced levels</t>
  </si>
  <si>
    <t>F</t>
  </si>
  <si>
    <t>Extra over for excavation in rock; All types of rock</t>
  </si>
  <si>
    <t>Ditto over 1.5m but not exceeding 3.0m deep</t>
  </si>
  <si>
    <t>Backfill</t>
  </si>
  <si>
    <t>Backfill with selected excavated material around foundations; compacting in layers maximum150mm thick; including double or multi handling of excavated where necessary</t>
  </si>
  <si>
    <t>Disposal</t>
  </si>
  <si>
    <t>Load and cart away surplus of excavated materials and dispose in designated areas</t>
  </si>
  <si>
    <t>Disposal of water</t>
  </si>
  <si>
    <t>Allow for keeping excavations free of spring, underground or running water including any necessary pumping, bailing or other approved means</t>
  </si>
  <si>
    <t>ITEM</t>
  </si>
  <si>
    <t>Planking and strutting</t>
  </si>
  <si>
    <t>Allow for upholding and supporting sides of  excavation including any planking and strutting necessary</t>
  </si>
  <si>
    <t>FILLING</t>
  </si>
  <si>
    <t>Hardcore</t>
  </si>
  <si>
    <t>Murram</t>
  </si>
  <si>
    <t>Quarry dust murram blinding 50 mm thick rolled smooth to receive polythene sheeting</t>
  </si>
  <si>
    <t>Damp proof membrane</t>
  </si>
  <si>
    <t>1000 gauge Polythene laid with 150mm laps,( No allowance made for laps)</t>
  </si>
  <si>
    <t>Horizontal, 1 No. of layer(s) over 300 mm wide</t>
  </si>
  <si>
    <t>250mm thick concrete bed</t>
  </si>
  <si>
    <t>250mm thick concrete walls</t>
  </si>
  <si>
    <t>REINFORCEMENT</t>
  </si>
  <si>
    <t>Supply and fix high yield deformed steel bar reinforcements to BS 4449 in structural concrete work including all cutting, bending, lowering, tying wire, spacing blocks and supporting all in position as necessary</t>
  </si>
  <si>
    <t>10mm dimeter bars</t>
  </si>
  <si>
    <t>KG</t>
  </si>
  <si>
    <t>12mm bars</t>
  </si>
  <si>
    <t>Concrete bed</t>
  </si>
  <si>
    <t>Retaining wall</t>
  </si>
  <si>
    <t>10mm bars</t>
  </si>
  <si>
    <t>Carried to collection</t>
  </si>
  <si>
    <t>150mm thick hardcore to make up levels; compacted, levelled and graded to appoval</t>
  </si>
  <si>
    <t>GROUND FLOOR</t>
  </si>
  <si>
    <t>FIRST FLOOR</t>
  </si>
  <si>
    <t>STAIRCASE</t>
  </si>
  <si>
    <t>G</t>
  </si>
  <si>
    <t>200mm overflow drain</t>
  </si>
  <si>
    <t>Steps</t>
  </si>
  <si>
    <t>H</t>
  </si>
  <si>
    <t>Providing and removing formworks with necessary frame work, bolts, nuts, props etc. with necessary supports including chemical releasing agent to avoid sticking of cement; at all heights, levels to cast the member of any shape, size and thickness including strutting, propping, scaffolding etc. complete to</t>
  </si>
  <si>
    <t xml:space="preserve">Sides of concrete walls </t>
  </si>
  <si>
    <t>Edges of concrete bed</t>
  </si>
  <si>
    <t>LM</t>
  </si>
  <si>
    <t>Vibrated reinforced concrete class 25 ; with and including master seal 501WA waterproofing concrete admixture in concrete mix to Manufacturer's detailed specification and S.E's approval; to</t>
  </si>
  <si>
    <t>ELEMENT NO 2: SWIMMING POOL FINISHES</t>
  </si>
  <si>
    <t>Total of Substructure carried to Swimming pool summary</t>
  </si>
  <si>
    <t>Cement and sand (1:4) waterproof backings: wood floated finished</t>
  </si>
  <si>
    <t>22mm thick to receive mosaic wall tiles (measured separately)</t>
  </si>
  <si>
    <t>22mm thick to receive mosaic floor tiles (measured separately)</t>
  </si>
  <si>
    <t>Supply and fix mosaic tiles ; to regular pattern ; bedding and jointing in cement mortar (1:4) grouting joints with proprietory grouting laid on cement and sand base (m/s) ;Tenderers to allow for chamfer, corner strips cutting, fixing</t>
  </si>
  <si>
    <t xml:space="preserve">Walls generally; 300 x300mm </t>
  </si>
  <si>
    <t>Pool floor, 300 × 300mm</t>
  </si>
  <si>
    <t>Overflow drain cover grating</t>
  </si>
  <si>
    <t>300mm wide steel grating to cover overflow drain</t>
  </si>
  <si>
    <t>Ladder with 40mm diameter polished stainless-steel handrails. It should come complete with stainless steel step treads with rubber end pads and ground anchors sockets. AS 4-tread Dayliff ladder or approved equal</t>
  </si>
  <si>
    <t>Stainless steel ladders</t>
  </si>
  <si>
    <t>NO</t>
  </si>
  <si>
    <t>Total of Swimming Pool finishes carried to Swimming pool summary</t>
  </si>
  <si>
    <t>Descripton</t>
  </si>
  <si>
    <t>Amount(Ksh)</t>
  </si>
  <si>
    <t>Substructure</t>
  </si>
  <si>
    <t>Element</t>
  </si>
  <si>
    <t>BILL 01: SWIMMING POOL SUMMARY</t>
  </si>
  <si>
    <t>Swimming pool finishes</t>
  </si>
  <si>
    <t>Total of Swimming pool carried to Summary</t>
  </si>
  <si>
    <t>ELEMENT 01: SWIMMING POOL COMPOUND</t>
  </si>
  <si>
    <t>Site clearance</t>
  </si>
  <si>
    <t xml:space="preserve">Bushes, shrubs, undergrowth and small trees girth not exceeding 600mm or the like  and cart away from site as directed; </t>
  </si>
  <si>
    <t>Surface treatment</t>
  </si>
  <si>
    <t>Grade and compact subgrade to paving blocks</t>
  </si>
  <si>
    <t>Filling</t>
  </si>
  <si>
    <t>Hand packed hardcore base in 150mm layers, thickness - 300 mm</t>
  </si>
  <si>
    <t>Murram sub - base in layers compacted to 100 % - 100 mm</t>
  </si>
  <si>
    <t>Anti-termite treatment</t>
  </si>
  <si>
    <t>Applying "Termidor 25 EC" solution or other equal and approved sprayed evenly  by an approved specialist strictly in accordance with the manufacturer's instructions</t>
  </si>
  <si>
    <t>To surface of fills</t>
  </si>
  <si>
    <t>Conctrete paving blocks</t>
  </si>
  <si>
    <t>Heavy duty concrete paving blocks size 210 x 105 x 80 mm</t>
  </si>
  <si>
    <t>Precast concrete class 20 finished</t>
  </si>
  <si>
    <t>900 x 100 × 125mm thick channel block</t>
  </si>
  <si>
    <t>B/F from page 7</t>
  </si>
  <si>
    <t>B/F from page 8</t>
  </si>
  <si>
    <t>Total of Swimming Pool Compound  carried to External Works summary</t>
  </si>
  <si>
    <t>BILL 02: EXTERNAL WORKS SUMMARY</t>
  </si>
  <si>
    <t>Swimming pool compound</t>
  </si>
  <si>
    <t>BILL O2: EXTERNAL WORKS</t>
  </si>
  <si>
    <t>BILL 03: POOL HOUSE</t>
  </si>
  <si>
    <t>Excavating Trenches; to receive foundations starting from reduced levels</t>
  </si>
  <si>
    <t>Excavating Bases; to receive columns starting from reduced levels</t>
  </si>
  <si>
    <t>CONCRETE WORK</t>
  </si>
  <si>
    <t>Insitu concrete</t>
  </si>
  <si>
    <t>Strip footing</t>
  </si>
  <si>
    <t>Column bases</t>
  </si>
  <si>
    <t>Vibrated reinforced concrete Class 25 (1:1.5:3) in:-</t>
  </si>
  <si>
    <t>Foundation strip</t>
  </si>
  <si>
    <t>J</t>
  </si>
  <si>
    <t>Starter columns</t>
  </si>
  <si>
    <t>K</t>
  </si>
  <si>
    <t>Ground floor slab; 100mm thick</t>
  </si>
  <si>
    <t>Plain mix 1:4:8 50mm blinding to:</t>
  </si>
  <si>
    <t>12mm diameter bars</t>
  </si>
  <si>
    <t>8mm bars</t>
  </si>
  <si>
    <t>Fabric; B.S 4483</t>
  </si>
  <si>
    <t>Reference A142; mesh 200 x 200 mm weight 2.22 kgs per square meter (Measured net - no allowance made for laps); including bends, tying wire and spacer blocks in any location</t>
  </si>
  <si>
    <t>Formwork</t>
  </si>
  <si>
    <t>Marine board formwork 'Tywood' or other equal approved to insitu concrete</t>
  </si>
  <si>
    <t>Sides of starter columns</t>
  </si>
  <si>
    <t>Edges of floor slab 75 to 150 mm high</t>
  </si>
  <si>
    <t>16mm bars</t>
  </si>
  <si>
    <t>Sawn formwork to insitu concrete</t>
  </si>
  <si>
    <t>Foundation walling</t>
  </si>
  <si>
    <t>Quarry dressed natural stone walling bedded and jointed in cement and sand (1:3) mortar and reinforced with and including 20swg x 25mm wide hoop iron in every alternate course</t>
  </si>
  <si>
    <t>200mm thick foundation walling</t>
  </si>
  <si>
    <t>300mm thick hardcore to make up levels, depositing and compacting in layers maximum 150mm thick levelling and grading to appoval</t>
  </si>
  <si>
    <t>To surface of fill and tops of foundation walls</t>
  </si>
  <si>
    <t>Plinth finishes</t>
  </si>
  <si>
    <t>Render, cement and sand (1:3) wood floated</t>
  </si>
  <si>
    <t>12mm thick 2 No. coat work, to concrete or blockwork base (m/s) generally external</t>
  </si>
  <si>
    <t>Prepare and apply; 3 coats of 'CROWN' or equal and approved black bituminous paint to</t>
  </si>
  <si>
    <t>Rendered surfaces external</t>
  </si>
  <si>
    <t>Total of Substructure carried to Summary</t>
  </si>
  <si>
    <t>B/F from page 10</t>
  </si>
  <si>
    <t>B/F from page 11</t>
  </si>
  <si>
    <t>B/F from page 12</t>
  </si>
  <si>
    <t>B/F from page 13</t>
  </si>
  <si>
    <t>B/F from page 14</t>
  </si>
  <si>
    <t>ELEMENT NO.1</t>
  </si>
  <si>
    <t>CONCRETE SUPERSTRUCTURE WORKS</t>
  </si>
  <si>
    <t>Formwork to insitu concrete</t>
  </si>
  <si>
    <t xml:space="preserve">Sides of columns </t>
  </si>
  <si>
    <t>Sides and soffits of beams</t>
  </si>
  <si>
    <t>Soffit of suspended slab</t>
  </si>
  <si>
    <t>Edges of suspended slab; 75-150mm width</t>
  </si>
  <si>
    <t>Concrete work</t>
  </si>
  <si>
    <t>Beams</t>
  </si>
  <si>
    <t>Columns</t>
  </si>
  <si>
    <t>150mm thick suspended slab</t>
  </si>
  <si>
    <t>Supply and fix high yield deformed steel bar reinforcements to BS 4449 in structural concrete work including all cutting, bending, hoisting, tying wire, spacing blocks and supporting all in position as necessary</t>
  </si>
  <si>
    <t>Suspended slab</t>
  </si>
  <si>
    <t>10mm diameter bars</t>
  </si>
  <si>
    <t>Total of Concrete superstructure carried to Ground Floor summary</t>
  </si>
  <si>
    <t>B/F from page 15</t>
  </si>
  <si>
    <t>B/F from page 16</t>
  </si>
  <si>
    <t>ELEMENT NO. 2</t>
  </si>
  <si>
    <t>WALLING</t>
  </si>
  <si>
    <t>Bituminous felt or other equal approved damp-proof course: in cement/ sand (1:3) mortar</t>
  </si>
  <si>
    <t>200mm wide</t>
  </si>
  <si>
    <t>External walls</t>
  </si>
  <si>
    <t>Machine dressed natural stone walling bedded in cement and sand mortar (1:3) with minimum stone crushing strength of 7N/mm² including 20 mm thick hoop iron in alternate courses;</t>
  </si>
  <si>
    <t>200mm thick walls</t>
  </si>
  <si>
    <t>Internal walls</t>
  </si>
  <si>
    <t>Natural stone walls: machine cut: bedded and jointed in cement and sand (1:3) mortar with minimum stone crushing strength of 7N/mm² including 20 mm thick hoop iron in alternate courses;</t>
  </si>
  <si>
    <t>Total of Walling carried to Ground Floor summary</t>
  </si>
  <si>
    <t>150mm wide</t>
  </si>
  <si>
    <t>150mm thick walls</t>
  </si>
  <si>
    <t>ELEMENT 03</t>
  </si>
  <si>
    <t>WINDOWS</t>
  </si>
  <si>
    <t>Window sill</t>
  </si>
  <si>
    <t>400 × 100 mm thick precast concrete mix (1:2:4) sill; single bevelled weathered and throated on one side; laid on 20mm thick cement sand (1:3) bedding</t>
  </si>
  <si>
    <t>Steel casement windows</t>
  </si>
  <si>
    <t>Steel casement mid hang window with horizontal pivots;  standard metal casement  sections, permanent  ventilators comprising T-bar gauze wire and metal hood to  fill width of window, but 100mm deep one coat primer by manufacturer; complete with all necessary ironmongery, steel for  glazing with putty, cutting and pinning  lugs to concrete or blockwork, fixing to head and sill with screws and plugging. All references to ideal casement catalogue but the tenderer may supply any other equal anad approved to the satisfaction of the Project Manager</t>
  </si>
  <si>
    <t>Window size 750 × 850mm high overall</t>
  </si>
  <si>
    <t>Glazing</t>
  </si>
  <si>
    <t>4 mm thick clear glass and glazing to steel casement windows</t>
  </si>
  <si>
    <t>Ditto but 4mm thick obscure sheet glass</t>
  </si>
  <si>
    <t>Burglar proofing</t>
  </si>
  <si>
    <t>Welded metal grill burglar proofing in 20mmx 20mmx1.5mm thick SHS bars with one coat primer including welding to metal in approved pattern</t>
  </si>
  <si>
    <t>Wrot mahogany or other equal approved hardwood: prime grade</t>
  </si>
  <si>
    <t>Window board; 150 x 25 mm; all beadings</t>
  </si>
  <si>
    <t>Painting and decorating</t>
  </si>
  <si>
    <t>One undercoat, two coats oil paint gloss finish as crown paints or other equal and approved catalogue</t>
  </si>
  <si>
    <t>Metal window surfaces generally internally and externally measured overall</t>
  </si>
  <si>
    <t>Metal burglar proofing surfaces generally internally and externally measured overall</t>
  </si>
  <si>
    <t>Total of Windows carried to Ground Floor summary</t>
  </si>
  <si>
    <t>Window size 1500 × 1200mm high overall</t>
  </si>
  <si>
    <t>ELEMENT NO. 4</t>
  </si>
  <si>
    <t>DOORS</t>
  </si>
  <si>
    <t>Purposed made mild steel doors complete with pin type hinges; welded smooth; all necessary ironmongery to approval; one coat red oxide painted;comprising 50 x 50 x 3mm thick RHS external frame fishtail grouted into concrete/block/masonry walling; 50 x 50 x 3mm R.H.S horizontal intermediate frames welded onto and inlcuding 50 x 50 x 3 mm RHS surround frame at 300mm centres; 25 x 3 mm thick flat door stopper with and including for 25x25x 2mm SHS  beading; door leaf infilled with 2mm thick pressed metal panels profiled to form panels welded; all  welding, grounding to a smooth finish including for priming door with  one coat red oxide primer; pointed internally and externally with approved mastic sealant</t>
  </si>
  <si>
    <t>4mm thick clear sheet glass and glazing with putty to casement door in panes 0.10m - 0.05m squared</t>
  </si>
  <si>
    <t>Prepare and apply one coat of 'CROWN' or equal and approved; etching primer two undercoats and one coat oil paint full gloss furnish to metal work</t>
  </si>
  <si>
    <t>General surfaces of steel doors (both sides measured overall)</t>
  </si>
  <si>
    <t>Door overall size 1000 x 2400mm high welded complete with 'UNION Steel door lock Model No. LS-Z306-45AB' or equal and approved and 3 No. tower  bolts in single leaf</t>
  </si>
  <si>
    <t>Timber Doors</t>
  </si>
  <si>
    <t>45 mm thick flush doorS to B.S 459 Part 2 : semi solid core; Mahogany veneered to both sides; hardwood lipped edges; refer to Architect's details</t>
  </si>
  <si>
    <t xml:space="preserve">Single leaf door; overall size 1000 x 2100 mm high </t>
  </si>
  <si>
    <t>Wrot mahongany: prime grade; with stainless steel fixing straps; including chasing to masonry, plugging and making good</t>
  </si>
  <si>
    <t>150 x 50 mm Door frame: twice rebated: plugged</t>
  </si>
  <si>
    <t>50 x 25 mm Architrave: splayed</t>
  </si>
  <si>
    <t>25 x 25 mm Quadrant</t>
  </si>
  <si>
    <t>Prepare and apply one coat of aluminium wood primer as 'ÇROWN paints' or other equal and approved on timber surfaces in contact with concrete or masonry</t>
  </si>
  <si>
    <t>Over 100 but not exceeding 200 mm girth</t>
  </si>
  <si>
    <t>Prepare surfaces: apply two coats clear pinotex spirit in clear matt varnish: on timber surfaces: to</t>
  </si>
  <si>
    <t>General timber surfaces: doors</t>
  </si>
  <si>
    <t>Supply and fix: 'UNION' or other equal approved ironmongery: matching screws: locks to include a set of 3 keys: available from their authorised local dealers; stainless steel finish to architects approval</t>
  </si>
  <si>
    <t>100mm brass butt hinges</t>
  </si>
  <si>
    <t>PRS</t>
  </si>
  <si>
    <t>Three lever mortice lock 'Model No. 3L-502-06-77PB' with handles</t>
  </si>
  <si>
    <t>225 x 25 x 3mm thick door fixing cramps one end bent and twice screwed to frame  and the other end fanged and built into blockwork</t>
  </si>
  <si>
    <t>38 mm Diameter oval rubber stop; floor or wall mounted</t>
  </si>
  <si>
    <t>Total of Doors carried to Ground Floor summary</t>
  </si>
  <si>
    <t>Staircase</t>
  </si>
  <si>
    <t>ELEMENT NO.5</t>
  </si>
  <si>
    <t>FINISHES</t>
  </si>
  <si>
    <t>FLOOR FINISHES</t>
  </si>
  <si>
    <t>Screed: cement and sand (1:4) on concrete: wood floated finished</t>
  </si>
  <si>
    <t>32mm thick to receive non slip ceramic tiles (measured separately)</t>
  </si>
  <si>
    <t>Supply and fix 'Saj' non-slip ceramic tiles ; to regular pattern ; bedding and jointing in cement mortar (1:4) grouting joints with proprietory grouting laid on cement and sand base (m/s) ;Tenderers to allow for chamfer, corner strips cutting, fixing</t>
  </si>
  <si>
    <t xml:space="preserve">Floors generally; 330 x330mm </t>
  </si>
  <si>
    <t>110mm high ceramic tile skirting with rounded junction with wall finish and coved  junction with floor internal</t>
  </si>
  <si>
    <t>WALL FINISHES</t>
  </si>
  <si>
    <t>External cement and sand(1:3) render: wood trowelled: on masonry or concrete: to</t>
  </si>
  <si>
    <t>Walls and concrete surfaces</t>
  </si>
  <si>
    <t>Prepare and apply wallmaster render to Manufacture's printed instructions and to Architect's approval: to</t>
  </si>
  <si>
    <t xml:space="preserve">Internal wall </t>
  </si>
  <si>
    <t>Plaster; 9mm thick first coat of cement and sand (1:6); 3mm second coat of cement and lime putty (1:10); steel trowelled smooth: to</t>
  </si>
  <si>
    <t>Masonry or concrete surfaces</t>
  </si>
  <si>
    <t>Prepare surfaces: apply three coats of approved first grade plastic emulsion paint: on steel trowelled plaster: to</t>
  </si>
  <si>
    <t>Masonry or concrete surfaces internally</t>
  </si>
  <si>
    <t>Backing: 10 mm cement/sand (1:4): on masonry or concrete: wood float finished: to</t>
  </si>
  <si>
    <t>Walls to receive ceramic tiles (m.s.)</t>
  </si>
  <si>
    <t>Supply and fix 'Saj polished coloured ceramic wall tiles; to regular pattern; bedding and jointing in cement mortar (1:4) grouting joints with proprietory grouting laid on cement and sand backing (m/s); Tenderers to allow for chamfer, corner strips, cutting, fixing etc ;</t>
  </si>
  <si>
    <t>330 × 250mm Thick tiles</t>
  </si>
  <si>
    <t>CEILING FINISHES</t>
  </si>
  <si>
    <t>Plaster; 9mm thick first coat of cement and sand (1:6); 3mm second coat to cement and lime putty (1:10); steel trowelled smooth: to</t>
  </si>
  <si>
    <t>Soffits of suspended slab and beams</t>
  </si>
  <si>
    <t>Concrete surfaces internally</t>
  </si>
  <si>
    <t>Urinal slab</t>
  </si>
  <si>
    <t>50mm thick concrete backing as urinal slab</t>
  </si>
  <si>
    <t>Total of Finishes carried to Ground Floor summary</t>
  </si>
  <si>
    <t>B/F from page 24</t>
  </si>
  <si>
    <t>B/F from page 23</t>
  </si>
  <si>
    <t>ELEMENT NO. 6</t>
  </si>
  <si>
    <t>FITTINGS</t>
  </si>
  <si>
    <t>Bar Counter</t>
  </si>
  <si>
    <t>Horizontal soffits of worktop</t>
  </si>
  <si>
    <t>Concrete works</t>
  </si>
  <si>
    <t>100mm high mass concrete (1:3:6) plinth footing</t>
  </si>
  <si>
    <t>70mm thick suspended worktop in concrete (1:2:4)</t>
  </si>
  <si>
    <t>BRC</t>
  </si>
  <si>
    <t xml:space="preserve"> Single layer fabric mesh reinforcement to BS 4483 ref. A98 : weighing : 1.54 kg per square metre</t>
  </si>
  <si>
    <t>Walling</t>
  </si>
  <si>
    <t>100mm thick machine cut walls to support suspended worktop</t>
  </si>
  <si>
    <t>Masonry  surfaces</t>
  </si>
  <si>
    <t xml:space="preserve">Masonry surfaces </t>
  </si>
  <si>
    <t>Granite 'Black Galaxy' or other equal approved</t>
  </si>
  <si>
    <t xml:space="preserve"> Fixing of 20 mm thick polished granite to concrete slabs; allow for forming hole for kitchen sink and making good</t>
  </si>
  <si>
    <t>B/F from page 26</t>
  </si>
  <si>
    <t>B/F from page 25</t>
  </si>
  <si>
    <t>Total of Fittings carried to Ground Floor summary</t>
  </si>
  <si>
    <t>Total of Concrete superstructure carried to First Floor summary</t>
  </si>
  <si>
    <t>B/F from page 31</t>
  </si>
  <si>
    <t>Total of Windows carried to First Floor summary</t>
  </si>
  <si>
    <t>Total of Doors carried to First Floor summary</t>
  </si>
  <si>
    <t>B/F from page 36</t>
  </si>
  <si>
    <t>B/F from page 35</t>
  </si>
  <si>
    <t>Sanitary fittings</t>
  </si>
  <si>
    <t>Supply and install the following sanitary fittings complete with all the necessary fittings as Duravit or equal approved Brand</t>
  </si>
  <si>
    <t>Countertop ceramic wash hand basin on an 800x800mm concrete worktop finished with a marble stone complete push taps and connect to water supply with a 3/4'' PPR pipe and waste disposal with 1.5'' PVC with all the necessary fittings</t>
  </si>
  <si>
    <t>Wall hang WC pan complete with a manual 1.5'' concealed manual flush valve complete with all the necessary fitting as Duravit or equal approved. Connect the WC with1.5'' PPR pipe complete with all the necessary fittings</t>
  </si>
  <si>
    <t>Concrete Superstructure</t>
  </si>
  <si>
    <t>Windows</t>
  </si>
  <si>
    <t>Doors</t>
  </si>
  <si>
    <t>Finishes</t>
  </si>
  <si>
    <t>Total of Second Floor carried to Summary</t>
  </si>
  <si>
    <t>Soffits of staircase  landing</t>
  </si>
  <si>
    <t>Slopping soffits of staircase</t>
  </si>
  <si>
    <t>Risers and Edges of stairs; 150-225mm width</t>
  </si>
  <si>
    <t>150mm thick suspended staircase landing</t>
  </si>
  <si>
    <t>Staircase steps and waist</t>
  </si>
  <si>
    <t>10 mm diameter bars</t>
  </si>
  <si>
    <t>12 mm diameter bars</t>
  </si>
  <si>
    <t>STAIRCASE FINISHES</t>
  </si>
  <si>
    <t>20mm thick screed: cement and sand (1:3): on concrete wood floated to:</t>
  </si>
  <si>
    <t>Staircase treads to receive non-slip ceramic tiles</t>
  </si>
  <si>
    <t>150mm high risers ditto</t>
  </si>
  <si>
    <t>Landing ditto</t>
  </si>
  <si>
    <t>Supply and fix approved non-slip ceramic floor tiles ; to regular pattern ; bedding and jointing in approved adhesive and grouting joints with proprietory grouting laid on cement and sand base (m/s) ;Tenderers to allow for chamfer, corner strips, cutting, fixing; to:</t>
  </si>
  <si>
    <t>300mm wide treads</t>
  </si>
  <si>
    <t>150mm high risers</t>
  </si>
  <si>
    <t>Landings</t>
  </si>
  <si>
    <t>Plaster: 9 mm first coat of cement, lime putty and sand (1:2:9): 4 mm second coat of cement lime putty and sand (1:1:6): steel trowelled: to</t>
  </si>
  <si>
    <t>Soffits of landings</t>
  </si>
  <si>
    <t>Slopping soffits of staircase and strings</t>
  </si>
  <si>
    <t>Balustrading</t>
  </si>
  <si>
    <t>900mm high balustrading in stainless steel comprising 75 mm diameter stainless steel circular hollow section(CHS) handrail , 50 x 50 x 3 mm 'I' section balusters at 742mm centres with one end grouted to concrete floor and other end welded handrail; 5 No. of 20 x 20 mm SHS stainless steel bars infill to pattern; all as per architect's detail; spray painted</t>
  </si>
  <si>
    <t>Total of Staircase carried to summary</t>
  </si>
  <si>
    <t>TOTAL CARRIED TO GRAND SUMMARY</t>
  </si>
  <si>
    <t>Total of External Works carried to Summary</t>
  </si>
  <si>
    <t>B/F from page 19</t>
  </si>
  <si>
    <t>B/F from page 18</t>
  </si>
  <si>
    <t>B/F from page 22</t>
  </si>
  <si>
    <t>B/F from page 21</t>
  </si>
  <si>
    <t>B/F from page 20</t>
  </si>
  <si>
    <t>GROUND FLOOR SUMMARY</t>
  </si>
  <si>
    <t>Total of Ground Floor carried to Summary</t>
  </si>
  <si>
    <t>Fittings</t>
  </si>
  <si>
    <t>B/F from page 29</t>
  </si>
  <si>
    <t>B/F from page 28</t>
  </si>
  <si>
    <t>Total of Walling carried to First  Floor summary</t>
  </si>
  <si>
    <t>B/F from page 32</t>
  </si>
  <si>
    <t>B/F from page 34</t>
  </si>
  <si>
    <t>B/F from page 37</t>
  </si>
  <si>
    <t>FIRST FLOOR SUMMARY</t>
  </si>
  <si>
    <t>Total of Fittings carried to First Floor summary</t>
  </si>
  <si>
    <t>Total of Finishes carried to First Floor summary</t>
  </si>
  <si>
    <t>B/F from page 41</t>
  </si>
  <si>
    <t>B/F from page 40</t>
  </si>
  <si>
    <t>B/F from page 39</t>
  </si>
  <si>
    <t>POOL HOUSE SUMMARY</t>
  </si>
  <si>
    <t>Ground Floor</t>
  </si>
  <si>
    <t>First Floor</t>
  </si>
  <si>
    <t>Total of Pool House carried to Summary</t>
  </si>
  <si>
    <t>Bill No</t>
  </si>
  <si>
    <t xml:space="preserve"> BUILDERS WORK SUMMARY</t>
  </si>
  <si>
    <t>SWIMMING POOL</t>
  </si>
  <si>
    <t>EXTERNAL WORKS</t>
  </si>
  <si>
    <t>POOL HOUSE</t>
  </si>
  <si>
    <t>The following sums are to be measured on completion and priced in accordancxe with the rates contained in this Bill of Quantities or prorata thereto or deducted in whole if not required</t>
  </si>
  <si>
    <t>Prime cost sums</t>
  </si>
  <si>
    <t>Electrical works</t>
  </si>
  <si>
    <t>Mechanical works</t>
  </si>
  <si>
    <t>Provisional sums</t>
  </si>
  <si>
    <t>Total Provisional Sums carried to Grand Summary</t>
  </si>
  <si>
    <t>Provide a prime cost sum of Kshs Three Hundred and Twelve Thousand, Eight Hundred (312,800.00) only for electrical installation works</t>
  </si>
  <si>
    <t>Provide a prime cost sum of Kshs Three Hundred and Twelve Thousand, Eight Hundred (312,800.00) only for mechanical installation works</t>
  </si>
  <si>
    <t>Provide a provisional sum of Kshs Two Hundred and Eighty One Thousand, Five Hundred (281,500.00) only  for contingencies</t>
  </si>
  <si>
    <t>SECTION 02: PRIME COST AND PROVISIONAL SUMS</t>
  </si>
  <si>
    <t>SECTION 03: GRAND  SUMMARY</t>
  </si>
  <si>
    <t xml:space="preserve">DESCRIPTION                                                </t>
  </si>
  <si>
    <t>For Official use only</t>
  </si>
  <si>
    <t>For Tenderers use only</t>
  </si>
  <si>
    <t xml:space="preserve">Section.   1   Building work                                          </t>
  </si>
  <si>
    <t xml:space="preserve">Section.  2   Prime Cost and Provisional Sums             </t>
  </si>
  <si>
    <t xml:space="preserve">TOTAL  CARRIED  TO  FORM  OF  TENDER                                                                               (VAT INCLUSIVE) :  KSHS    </t>
  </si>
  <si>
    <t>Contract period…................................................................................................................Weeks</t>
  </si>
  <si>
    <t>Tender Sum  in words: Kenya Shillings...........................................................................................</t>
  </si>
  <si>
    <t>..................................................................................................................................................</t>
  </si>
  <si>
    <t>Tenderer's Signature…...................................................................................................................</t>
  </si>
  <si>
    <t>Address........................................................................................................................................</t>
  </si>
  <si>
    <t>Date  ...........................................................................................................................................</t>
  </si>
  <si>
    <t>Witness Signature….......................................................................................................................</t>
  </si>
  <si>
    <t>Address….....................................................................................................................................</t>
  </si>
  <si>
    <t>Date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</si>
</sst>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00"/>
    <numFmt numFmtId="166" formatCode="m/d;@"/>
  </numFmts>
  <fonts count="38" x14ac:knownFonts="1">
    <font>
      <sz val="11"/>
      <color theme="1"/>
      <name val="Calibri"/>
      <family val="2"/>
      <scheme val="minor"/>
    </font>
    <font>
      <b/>
      <i/>
      <sz val="10"/>
      <color theme="1"/>
      <name val="Tahoma"/>
      <family val="2"/>
    </font>
    <font>
      <sz val="10"/>
      <color theme="1"/>
      <name val="Tahoma"/>
      <family val="2"/>
    </font>
    <font>
      <b/>
      <u/>
      <sz val="10"/>
      <color theme="1"/>
      <name val="Tahoma"/>
      <family val="2"/>
    </font>
    <font>
      <sz val="10"/>
      <name val="Tahoma"/>
      <family val="2"/>
    </font>
    <font>
      <b/>
      <u/>
      <sz val="10"/>
      <name val="Tahoma"/>
      <family val="2"/>
    </font>
    <font>
      <sz val="10"/>
      <name val="Arial"/>
      <family val="2"/>
    </font>
    <font>
      <sz val="11"/>
      <color theme="1"/>
      <name val="Tahoma"/>
      <family val="2"/>
    </font>
    <font>
      <b/>
      <sz val="10"/>
      <name val="Tahoma"/>
      <family val="2"/>
    </font>
    <font>
      <b/>
      <sz val="10"/>
      <color theme="1"/>
      <name val="Tahoma"/>
      <family val="2"/>
    </font>
    <font>
      <sz val="10"/>
      <color theme="1"/>
      <name val="Times New Roman"/>
      <family val="1"/>
    </font>
    <font>
      <b/>
      <u/>
      <sz val="10"/>
      <name val="Times New Roman"/>
      <family val="1"/>
    </font>
    <font>
      <b/>
      <i/>
      <u/>
      <sz val="10"/>
      <name val="Tahoma"/>
      <family val="2"/>
    </font>
    <font>
      <u/>
      <sz val="10"/>
      <name val="Tahoma"/>
      <family val="2"/>
    </font>
    <font>
      <u/>
      <sz val="10"/>
      <color rgb="FFFF0000"/>
      <name val="Tahoma"/>
      <family val="2"/>
    </font>
    <font>
      <sz val="10"/>
      <name val="Times New Roman"/>
      <family val="1"/>
    </font>
    <font>
      <sz val="11"/>
      <color theme="1"/>
      <name val="Times New Roman"/>
      <family val="1"/>
    </font>
    <font>
      <b/>
      <sz val="10"/>
      <color theme="1"/>
      <name val="Times New Roman"/>
      <family val="1"/>
    </font>
    <font>
      <b/>
      <i/>
      <sz val="10"/>
      <color theme="1"/>
      <name val="Times New Roman"/>
      <family val="1"/>
    </font>
    <font>
      <b/>
      <sz val="9"/>
      <color theme="1"/>
      <name val="Tahoma"/>
      <family val="2"/>
    </font>
    <font>
      <b/>
      <u/>
      <sz val="10"/>
      <color theme="1"/>
      <name val="Times New Roman"/>
      <family val="1"/>
    </font>
    <font>
      <b/>
      <sz val="10"/>
      <name val="Times New Roman"/>
      <family val="1"/>
    </font>
    <font>
      <b/>
      <i/>
      <u/>
      <sz val="10"/>
      <name val="Times New Roman"/>
      <family val="1"/>
    </font>
    <font>
      <b/>
      <i/>
      <sz val="11"/>
      <color theme="1"/>
      <name val="Times New Roman"/>
      <family val="1"/>
    </font>
    <font>
      <b/>
      <i/>
      <sz val="10"/>
      <name val="Times New Roman"/>
      <family val="1"/>
    </font>
    <font>
      <sz val="10"/>
      <name val="Gadugi"/>
      <family val="2"/>
    </font>
    <font>
      <i/>
      <sz val="10"/>
      <color theme="1"/>
      <name val="Times New Roman"/>
      <family val="1"/>
    </font>
    <font>
      <u/>
      <sz val="10"/>
      <name val="Times New Roman"/>
      <family val="1"/>
    </font>
    <font>
      <b/>
      <i/>
      <sz val="11"/>
      <color theme="1"/>
      <name val="Tahoma"/>
      <family val="2"/>
    </font>
    <font>
      <b/>
      <i/>
      <sz val="10"/>
      <name val="Tahoma"/>
      <family val="2"/>
    </font>
    <font>
      <i/>
      <sz val="10"/>
      <color theme="1"/>
      <name val="Tahoma"/>
      <family val="2"/>
    </font>
    <font>
      <u/>
      <sz val="10"/>
      <color rgb="FFFF0000"/>
      <name val="Times New Roman"/>
      <family val="1"/>
    </font>
    <font>
      <b/>
      <sz val="10"/>
      <color rgb="FFFF0000"/>
      <name val="Times New Roman"/>
      <family val="1"/>
    </font>
    <font>
      <b/>
      <sz val="10"/>
      <color rgb="FFFF0000"/>
      <name val="Tahoma"/>
      <family val="2"/>
    </font>
    <font>
      <b/>
      <u/>
      <sz val="11"/>
      <color theme="1"/>
      <name val="Calibri"/>
      <family val="2"/>
      <scheme val="minor"/>
    </font>
    <font>
      <b/>
      <u/>
      <sz val="11"/>
      <color theme="1"/>
      <name val="Times New Roman"/>
      <family val="1"/>
    </font>
    <font>
      <sz val="10"/>
      <color rgb="FFFF0000"/>
      <name val="Times New Roman"/>
      <family val="1"/>
    </font>
    <font>
      <sz val="9"/>
      <name val="Verdana"/>
      <family val="2"/>
    </font>
  </fonts>
  <fills count="2">
    <fill>
      <patternFill patternType="none"/>
    </fill>
    <fill>
      <patternFill patternType="gray125"/>
    </fill>
  </fills>
  <borders count="4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indexed="64"/>
      </left>
      <right style="thin">
        <color indexed="64"/>
      </right>
      <top/>
      <bottom/>
      <diagonal/>
    </border>
    <border>
      <left style="thin">
        <color indexed="64"/>
      </left>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indexed="64"/>
      </left>
      <right style="thin">
        <color indexed="64"/>
      </right>
      <top style="medium">
        <color auto="1"/>
      </top>
      <bottom style="medium">
        <color auto="1"/>
      </bottom>
      <diagonal/>
    </border>
    <border>
      <left style="thin">
        <color indexed="64"/>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thin">
        <color indexed="64"/>
      </left>
      <right/>
      <top/>
      <bottom style="thin">
        <color auto="1"/>
      </bottom>
      <diagonal/>
    </border>
    <border>
      <left style="thin">
        <color indexed="64"/>
      </left>
      <right style="medium">
        <color auto="1"/>
      </right>
      <top/>
      <bottom style="thin">
        <color auto="1"/>
      </bottom>
      <diagonal/>
    </border>
    <border>
      <left/>
      <right style="thin">
        <color indexed="64"/>
      </right>
      <top/>
      <bottom/>
      <diagonal/>
    </border>
    <border>
      <left/>
      <right style="medium">
        <color auto="1"/>
      </right>
      <top/>
      <bottom/>
      <diagonal/>
    </border>
    <border>
      <left style="medium">
        <color auto="1"/>
      </left>
      <right/>
      <top/>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style="medium">
        <color auto="1"/>
      </bottom>
      <diagonal/>
    </border>
    <border>
      <left/>
      <right style="thin">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indexed="64"/>
      </left>
      <right style="thin">
        <color indexed="64"/>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indexed="64"/>
      </left>
      <right style="thin">
        <color indexed="64"/>
      </right>
      <top style="medium">
        <color auto="1"/>
      </top>
      <bottom/>
      <diagonal/>
    </border>
    <border>
      <left style="thin">
        <color indexed="64"/>
      </left>
      <right/>
      <top/>
      <bottom style="medium">
        <color auto="1"/>
      </bottom>
      <diagonal/>
    </border>
    <border>
      <left/>
      <right style="double">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auto="1"/>
      </top>
      <bottom/>
      <diagonal/>
    </border>
    <border>
      <left style="thin">
        <color auto="1"/>
      </left>
      <right style="double">
        <color indexed="64"/>
      </right>
      <top/>
      <bottom/>
      <diagonal/>
    </border>
    <border>
      <left/>
      <right style="double">
        <color indexed="64"/>
      </right>
      <top style="medium">
        <color auto="1"/>
      </top>
      <bottom style="medium">
        <color indexed="64"/>
      </bottom>
      <diagonal/>
    </border>
  </borders>
  <cellStyleXfs count="3">
    <xf numFmtId="0" fontId="0" fillId="0" borderId="0"/>
    <xf numFmtId="164" fontId="6" fillId="0" borderId="0" applyFont="0" applyFill="0" applyBorder="0" applyAlignment="0" applyProtection="0"/>
    <xf numFmtId="0" fontId="6" fillId="0" borderId="0"/>
  </cellStyleXfs>
  <cellXfs count="475">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4" fontId="1" fillId="0" borderId="4" xfId="0" applyNumberFormat="1" applyFont="1" applyBorder="1" applyAlignment="1">
      <alignment horizontal="center" vertical="center"/>
    </xf>
    <xf numFmtId="0" fontId="2" fillId="0" borderId="5" xfId="0" applyFont="1" applyBorder="1" applyAlignment="1">
      <alignment horizontal="center" vertical="center"/>
    </xf>
    <xf numFmtId="14" fontId="3" fillId="0" borderId="6" xfId="0" applyNumberFormat="1" applyFont="1" applyBorder="1" applyAlignment="1">
      <alignment horizontal="left"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4" fontId="2" fillId="0" borderId="8" xfId="0" applyNumberFormat="1" applyFont="1" applyBorder="1" applyAlignment="1">
      <alignment vertical="center"/>
    </xf>
    <xf numFmtId="0" fontId="2" fillId="0" borderId="6" xfId="0" applyFont="1" applyBorder="1" applyAlignment="1">
      <alignment horizontal="center" vertical="center" wrapText="1"/>
    </xf>
    <xf numFmtId="0" fontId="3" fillId="0" borderId="6" xfId="0" applyFont="1" applyBorder="1" applyAlignment="1">
      <alignment vertical="center" wrapText="1"/>
    </xf>
    <xf numFmtId="0" fontId="4" fillId="0" borderId="5" xfId="0" applyFont="1" applyBorder="1" applyAlignment="1">
      <alignment horizontal="center" vertical="center"/>
    </xf>
    <xf numFmtId="0" fontId="5" fillId="0" borderId="6" xfId="0" applyFont="1" applyBorder="1" applyAlignment="1">
      <alignment vertical="center" wrapText="1"/>
    </xf>
    <xf numFmtId="0" fontId="4" fillId="0" borderId="6" xfId="0" applyFont="1" applyBorder="1" applyAlignment="1">
      <alignment horizontal="center" vertical="center"/>
    </xf>
    <xf numFmtId="4" fontId="4" fillId="0" borderId="8" xfId="1" applyNumberFormat="1" applyFont="1" applyBorder="1" applyAlignment="1">
      <alignment vertical="center"/>
    </xf>
    <xf numFmtId="0" fontId="4" fillId="0" borderId="6" xfId="0" applyFont="1" applyBorder="1" applyAlignment="1">
      <alignment vertical="center" wrapText="1"/>
    </xf>
    <xf numFmtId="0" fontId="2" fillId="0" borderId="5" xfId="0" applyFont="1" applyFill="1" applyBorder="1" applyAlignment="1">
      <alignment horizontal="center" vertical="center"/>
    </xf>
    <xf numFmtId="0" fontId="3" fillId="0" borderId="0" xfId="0" applyFont="1" applyFill="1" applyBorder="1" applyAlignment="1">
      <alignment wrapText="1"/>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4" fontId="7" fillId="0" borderId="8" xfId="0" applyNumberFormat="1" applyFont="1" applyFill="1" applyBorder="1" applyAlignment="1">
      <alignment vertical="center"/>
    </xf>
    <xf numFmtId="0" fontId="5" fillId="0" borderId="6" xfId="0" applyFont="1" applyFill="1" applyBorder="1" applyAlignment="1">
      <alignment wrapText="1"/>
    </xf>
    <xf numFmtId="4" fontId="2" fillId="0" borderId="8" xfId="0" applyNumberFormat="1" applyFont="1" applyFill="1" applyBorder="1" applyAlignment="1">
      <alignment vertical="center"/>
    </xf>
    <xf numFmtId="0" fontId="4" fillId="0" borderId="6" xfId="0" applyFont="1" applyFill="1" applyBorder="1" applyAlignment="1">
      <alignment wrapText="1"/>
    </xf>
    <xf numFmtId="0" fontId="5" fillId="0" borderId="6" xfId="0" applyFont="1" applyFill="1" applyBorder="1" applyAlignment="1">
      <alignment vertical="center" wrapText="1"/>
    </xf>
    <xf numFmtId="0" fontId="4" fillId="0" borderId="6" xfId="0" applyFont="1" applyFill="1" applyBorder="1" applyAlignment="1">
      <alignment vertical="center" wrapText="1"/>
    </xf>
    <xf numFmtId="0" fontId="4" fillId="0" borderId="6" xfId="0" applyFont="1" applyFill="1" applyBorder="1" applyAlignment="1">
      <alignment vertical="center"/>
    </xf>
    <xf numFmtId="0" fontId="2" fillId="0" borderId="6" xfId="0" applyFont="1" applyBorder="1" applyAlignment="1">
      <alignment vertical="center" wrapText="1"/>
    </xf>
    <xf numFmtId="0" fontId="2" fillId="0" borderId="9"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4" fontId="9" fillId="0" borderId="12" xfId="0" applyNumberFormat="1"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4" fontId="1" fillId="0" borderId="8" xfId="0" applyNumberFormat="1" applyFont="1" applyBorder="1" applyAlignment="1">
      <alignment horizontal="center" vertical="center"/>
    </xf>
    <xf numFmtId="0" fontId="2" fillId="0" borderId="6" xfId="0" applyFont="1" applyBorder="1"/>
    <xf numFmtId="0" fontId="2" fillId="0" borderId="8" xfId="0" applyFont="1" applyBorder="1"/>
    <xf numFmtId="0" fontId="2" fillId="0" borderId="5" xfId="0" applyFont="1" applyBorder="1"/>
    <xf numFmtId="0" fontId="7" fillId="0" borderId="6" xfId="0" applyFont="1" applyFill="1" applyBorder="1" applyAlignment="1">
      <alignment vertical="center" wrapText="1"/>
    </xf>
    <xf numFmtId="0" fontId="2" fillId="0" borderId="6" xfId="0" applyFont="1" applyFill="1" applyBorder="1" applyAlignment="1">
      <alignment vertical="center" wrapText="1"/>
    </xf>
    <xf numFmtId="0" fontId="3" fillId="0" borderId="6" xfId="0" applyFont="1" applyFill="1" applyBorder="1" applyAlignment="1">
      <alignment vertical="center" wrapText="1"/>
    </xf>
    <xf numFmtId="0" fontId="2" fillId="0" borderId="0" xfId="0" applyFont="1" applyFill="1" applyBorder="1" applyAlignment="1">
      <alignment vertical="center" wrapText="1"/>
    </xf>
    <xf numFmtId="4" fontId="9" fillId="0" borderId="8" xfId="0" applyNumberFormat="1" applyFont="1" applyBorder="1" applyAlignment="1">
      <alignment vertical="center"/>
    </xf>
    <xf numFmtId="0" fontId="5" fillId="0" borderId="6" xfId="0" applyFont="1" applyBorder="1" applyAlignment="1">
      <alignment horizontal="center" vertical="center" wrapText="1"/>
    </xf>
    <xf numFmtId="0" fontId="3" fillId="0" borderId="6" xfId="0" applyFont="1" applyBorder="1" applyAlignment="1">
      <alignment horizontal="center" vertical="center"/>
    </xf>
    <xf numFmtId="165" fontId="9" fillId="0" borderId="5" xfId="0" applyNumberFormat="1" applyFont="1" applyBorder="1" applyAlignment="1">
      <alignment horizontal="center" vertical="center"/>
    </xf>
    <xf numFmtId="0" fontId="8" fillId="0" borderId="6" xfId="0" applyFont="1" applyBorder="1" applyAlignment="1">
      <alignment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wrapText="1"/>
    </xf>
    <xf numFmtId="0" fontId="2" fillId="0" borderId="13" xfId="0" applyFont="1" applyBorder="1" applyAlignment="1">
      <alignment horizontal="center" vertical="center"/>
    </xf>
    <xf numFmtId="0" fontId="9" fillId="0" borderId="14" xfId="0" applyFont="1" applyBorder="1" applyAlignment="1">
      <alignment horizontal="center" vertical="center" wrapText="1"/>
    </xf>
    <xf numFmtId="0" fontId="2" fillId="0" borderId="14" xfId="0" applyFont="1" applyBorder="1" applyAlignment="1">
      <alignment horizontal="center" vertical="center"/>
    </xf>
    <xf numFmtId="0" fontId="2" fillId="0" borderId="17" xfId="0" applyFont="1" applyFill="1" applyBorder="1" applyAlignment="1">
      <alignment horizontal="center" vertical="center"/>
    </xf>
    <xf numFmtId="0" fontId="5" fillId="0" borderId="17" xfId="0" applyFont="1" applyFill="1" applyBorder="1" applyAlignment="1">
      <alignment vertical="center" wrapText="1"/>
    </xf>
    <xf numFmtId="4" fontId="2" fillId="0" borderId="17" xfId="0" applyNumberFormat="1" applyFont="1" applyFill="1" applyBorder="1" applyAlignment="1">
      <alignment vertical="center"/>
    </xf>
    <xf numFmtId="0" fontId="2" fillId="0" borderId="0" xfId="0" applyFont="1" applyFill="1" applyBorder="1" applyAlignment="1">
      <alignment horizontal="center" vertical="center"/>
    </xf>
    <xf numFmtId="0" fontId="5" fillId="0" borderId="0" xfId="0" applyFont="1" applyFill="1" applyBorder="1" applyAlignment="1">
      <alignment vertical="center" wrapText="1"/>
    </xf>
    <xf numFmtId="4" fontId="2" fillId="0" borderId="0" xfId="0" applyNumberFormat="1" applyFont="1" applyFill="1" applyBorder="1" applyAlignment="1">
      <alignment vertical="center"/>
    </xf>
    <xf numFmtId="0" fontId="4" fillId="0" borderId="0" xfId="0" applyFont="1" applyFill="1" applyBorder="1" applyAlignment="1">
      <alignment vertical="center" wrapText="1"/>
    </xf>
    <xf numFmtId="0" fontId="2" fillId="0" borderId="0" xfId="0" applyFont="1" applyBorder="1"/>
    <xf numFmtId="0" fontId="2" fillId="0" borderId="0" xfId="0" applyFont="1" applyBorder="1" applyAlignment="1">
      <alignment vertical="center"/>
    </xf>
    <xf numFmtId="0" fontId="3" fillId="0" borderId="0" xfId="0" applyFont="1" applyFill="1" applyBorder="1" applyAlignment="1">
      <alignment vertical="center" wrapText="1"/>
    </xf>
    <xf numFmtId="0" fontId="5" fillId="0" borderId="0" xfId="0" applyFont="1" applyFill="1" applyBorder="1" applyAlignment="1">
      <alignment horizontal="left" vertical="center" wrapText="1"/>
    </xf>
    <xf numFmtId="0" fontId="7" fillId="0" borderId="0" xfId="0" applyFont="1" applyFill="1" applyBorder="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center" wrapText="1"/>
    </xf>
    <xf numFmtId="4" fontId="9" fillId="0" borderId="0" xfId="0" applyNumberFormat="1" applyFont="1" applyBorder="1" applyAlignment="1">
      <alignment vertical="center"/>
    </xf>
    <xf numFmtId="0" fontId="7"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6" xfId="0" applyFont="1" applyFill="1" applyBorder="1" applyAlignment="1">
      <alignment horizontal="center" vertical="center"/>
    </xf>
    <xf numFmtId="0" fontId="10" fillId="0" borderId="7" xfId="0" applyFont="1" applyFill="1" applyBorder="1" applyAlignment="1">
      <alignment horizontal="center" vertical="center"/>
    </xf>
    <xf numFmtId="4" fontId="10" fillId="0" borderId="8" xfId="0" applyNumberFormat="1" applyFont="1" applyFill="1" applyBorder="1" applyAlignment="1">
      <alignment vertical="center"/>
    </xf>
    <xf numFmtId="0" fontId="3" fillId="0" borderId="6" xfId="0" applyFont="1" applyBorder="1" applyAlignment="1">
      <alignment vertical="center"/>
    </xf>
    <xf numFmtId="0" fontId="2" fillId="0" borderId="5" xfId="0" applyFont="1" applyBorder="1" applyAlignment="1">
      <alignment horizontal="center"/>
    </xf>
    <xf numFmtId="0" fontId="2" fillId="0" borderId="6" xfId="0" applyFont="1" applyBorder="1" applyAlignment="1">
      <alignment vertical="center"/>
    </xf>
    <xf numFmtId="0" fontId="2" fillId="0" borderId="6" xfId="0" applyFont="1" applyBorder="1" applyAlignment="1">
      <alignment horizontal="center"/>
    </xf>
    <xf numFmtId="0" fontId="2" fillId="0" borderId="7" xfId="0" applyFont="1" applyFill="1" applyBorder="1" applyAlignment="1">
      <alignment vertical="center"/>
    </xf>
    <xf numFmtId="0" fontId="5" fillId="0" borderId="6" xfId="0" applyFont="1" applyFill="1" applyBorder="1" applyAlignment="1">
      <alignment horizontal="left" vertical="center" wrapText="1"/>
    </xf>
    <xf numFmtId="0" fontId="4" fillId="0" borderId="6" xfId="0" applyFont="1" applyFill="1" applyBorder="1" applyAlignment="1">
      <alignment horizontal="left" vertical="center"/>
    </xf>
    <xf numFmtId="4" fontId="9" fillId="0" borderId="8" xfId="0" applyNumberFormat="1" applyFont="1" applyBorder="1"/>
    <xf numFmtId="0" fontId="4" fillId="0" borderId="6" xfId="0" applyFont="1" applyFill="1" applyBorder="1" applyAlignment="1">
      <alignment horizontal="left" vertical="center" wrapText="1"/>
    </xf>
    <xf numFmtId="0" fontId="9" fillId="0" borderId="8" xfId="0" applyFont="1" applyBorder="1"/>
    <xf numFmtId="0" fontId="7" fillId="0" borderId="6" xfId="0" applyFont="1" applyFill="1" applyBorder="1" applyAlignment="1">
      <alignment horizontal="center" vertical="center"/>
    </xf>
    <xf numFmtId="0" fontId="7" fillId="0" borderId="7" xfId="0" applyFont="1" applyFill="1" applyBorder="1" applyAlignment="1">
      <alignment horizontal="center" vertical="center"/>
    </xf>
    <xf numFmtId="1" fontId="2" fillId="0" borderId="6" xfId="0" applyNumberFormat="1" applyFont="1" applyFill="1" applyBorder="1" applyAlignment="1">
      <alignment horizontal="center" vertical="center"/>
    </xf>
    <xf numFmtId="0" fontId="10" fillId="0" borderId="6" xfId="0" applyFont="1" applyFill="1" applyBorder="1" applyAlignment="1">
      <alignment vertical="center" wrapText="1"/>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4" fontId="4" fillId="0" borderId="8" xfId="1" applyNumberFormat="1" applyFont="1" applyFill="1" applyBorder="1" applyAlignment="1">
      <alignment vertical="center"/>
    </xf>
    <xf numFmtId="0" fontId="2" fillId="0" borderId="6" xfId="0" applyFont="1" applyFill="1" applyBorder="1" applyAlignment="1">
      <alignment horizontal="left" vertical="center" wrapText="1"/>
    </xf>
    <xf numFmtId="0" fontId="4" fillId="0" borderId="7" xfId="0" applyFont="1" applyFill="1" applyBorder="1" applyAlignment="1">
      <alignment horizontal="center" vertical="center"/>
    </xf>
    <xf numFmtId="0" fontId="2" fillId="0" borderId="7" xfId="0" applyFont="1" applyBorder="1" applyAlignment="1">
      <alignment vertical="center"/>
    </xf>
    <xf numFmtId="0" fontId="4" fillId="0" borderId="7" xfId="0" applyFont="1" applyBorder="1" applyAlignment="1">
      <alignment horizontal="center" vertical="center"/>
    </xf>
    <xf numFmtId="0" fontId="10" fillId="0" borderId="20" xfId="0" applyFont="1" applyBorder="1" applyAlignment="1">
      <alignment horizontal="center" vertical="center"/>
    </xf>
    <xf numFmtId="0" fontId="10" fillId="0" borderId="6" xfId="0" applyFont="1" applyBorder="1" applyAlignment="1">
      <alignment horizontal="center" vertical="center"/>
    </xf>
    <xf numFmtId="0" fontId="2" fillId="0" borderId="9" xfId="0" applyFont="1" applyFill="1" applyBorder="1" applyAlignment="1">
      <alignment horizontal="center" vertical="center"/>
    </xf>
    <xf numFmtId="0" fontId="1" fillId="0" borderId="10" xfId="0" applyFont="1" applyFill="1" applyBorder="1" applyAlignment="1">
      <alignment horizontal="right" vertical="center" wrapText="1"/>
    </xf>
    <xf numFmtId="0" fontId="2" fillId="0" borderId="10" xfId="0" applyFont="1" applyFill="1" applyBorder="1" applyAlignment="1">
      <alignment horizontal="center" vertical="center"/>
    </xf>
    <xf numFmtId="0" fontId="2" fillId="0" borderId="11" xfId="0" applyFont="1" applyFill="1" applyBorder="1" applyAlignment="1">
      <alignment horizontal="center" vertical="center"/>
    </xf>
    <xf numFmtId="4" fontId="9" fillId="0" borderId="12" xfId="0" applyNumberFormat="1" applyFont="1" applyFill="1" applyBorder="1" applyAlignment="1">
      <alignment vertical="center"/>
    </xf>
    <xf numFmtId="2" fontId="2" fillId="0" borderId="8" xfId="0" applyNumberFormat="1" applyFont="1" applyBorder="1"/>
    <xf numFmtId="0" fontId="4" fillId="0" borderId="6"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4" fontId="4" fillId="0" borderId="8" xfId="1" applyNumberFormat="1" applyFont="1" applyBorder="1" applyAlignment="1">
      <alignment vertical="center" wrapText="1"/>
    </xf>
    <xf numFmtId="0" fontId="9" fillId="0" borderId="6" xfId="0" applyFont="1" applyBorder="1" applyAlignment="1">
      <alignment horizontal="lef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2" fillId="0" borderId="17" xfId="0" applyFont="1" applyBorder="1" applyAlignment="1">
      <alignment horizontal="center" vertical="center"/>
    </xf>
    <xf numFmtId="0" fontId="1" fillId="0" borderId="17" xfId="0" applyFont="1" applyBorder="1" applyAlignment="1">
      <alignment horizontal="left" vertical="center" wrapText="1"/>
    </xf>
    <xf numFmtId="4" fontId="9" fillId="0" borderId="17" xfId="0" applyNumberFormat="1" applyFont="1" applyBorder="1" applyAlignment="1">
      <alignment vertical="center"/>
    </xf>
    <xf numFmtId="0" fontId="1" fillId="0" borderId="0" xfId="0" applyFont="1" applyBorder="1" applyAlignment="1">
      <alignment horizontal="left" vertical="center" wrapText="1"/>
    </xf>
    <xf numFmtId="4" fontId="10" fillId="0" borderId="21" xfId="0" applyNumberFormat="1" applyFont="1" applyBorder="1" applyAlignment="1">
      <alignment vertical="center"/>
    </xf>
    <xf numFmtId="4" fontId="10" fillId="0" borderId="8" xfId="0" applyNumberFormat="1" applyFont="1" applyBorder="1" applyAlignment="1">
      <alignment vertical="center"/>
    </xf>
    <xf numFmtId="0" fontId="8" fillId="0" borderId="6" xfId="0" applyFont="1" applyFill="1" applyBorder="1" applyAlignment="1">
      <alignment wrapText="1"/>
    </xf>
    <xf numFmtId="0" fontId="4" fillId="0" borderId="6" xfId="0" applyFont="1" applyFill="1" applyBorder="1" applyAlignment="1"/>
    <xf numFmtId="0" fontId="2" fillId="0" borderId="0" xfId="0" applyFont="1" applyFill="1" applyBorder="1" applyAlignment="1">
      <alignment wrapText="1"/>
    </xf>
    <xf numFmtId="0" fontId="4" fillId="0" borderId="6" xfId="0" applyFont="1" applyBorder="1" applyAlignment="1">
      <alignment horizontal="left" vertical="center" wrapText="1"/>
    </xf>
    <xf numFmtId="0" fontId="10" fillId="0" borderId="0" xfId="0" applyFont="1" applyBorder="1"/>
    <xf numFmtId="4" fontId="19" fillId="0" borderId="12" xfId="0" applyNumberFormat="1" applyFont="1" applyBorder="1" applyAlignment="1">
      <alignment vertical="center"/>
    </xf>
    <xf numFmtId="0" fontId="5" fillId="0" borderId="6" xfId="0" applyFont="1" applyBorder="1" applyAlignment="1">
      <alignment horizontal="left" vertical="center" wrapText="1"/>
    </xf>
    <xf numFmtId="0" fontId="10" fillId="0" borderId="9"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 fillId="0" borderId="10" xfId="0" applyFont="1" applyFill="1" applyBorder="1" applyAlignment="1">
      <alignment horizontal="center" vertical="center" wrapText="1"/>
    </xf>
    <xf numFmtId="0" fontId="4" fillId="0" borderId="6" xfId="0" applyFont="1" applyFill="1" applyBorder="1" applyAlignment="1">
      <alignment horizontal="left" wrapText="1"/>
    </xf>
    <xf numFmtId="0" fontId="4" fillId="0" borderId="6" xfId="0" applyFont="1" applyFill="1" applyBorder="1" applyAlignment="1">
      <alignment horizontal="center" wrapText="1"/>
    </xf>
    <xf numFmtId="0" fontId="4" fillId="0" borderId="6" xfId="0" applyFont="1" applyFill="1" applyBorder="1" applyAlignment="1">
      <alignment horizontal="left"/>
    </xf>
    <xf numFmtId="0" fontId="2" fillId="0" borderId="0" xfId="0" applyFont="1"/>
    <xf numFmtId="0" fontId="2" fillId="0" borderId="0" xfId="0" applyFont="1" applyAlignment="1">
      <alignment wrapText="1"/>
    </xf>
    <xf numFmtId="0" fontId="5" fillId="0" borderId="6" xfId="0" applyFont="1" applyBorder="1" applyAlignment="1">
      <alignment horizontal="center" wrapText="1"/>
    </xf>
    <xf numFmtId="0" fontId="8" fillId="0" borderId="6" xfId="0" applyFont="1" applyBorder="1" applyAlignment="1">
      <alignment wrapText="1"/>
    </xf>
    <xf numFmtId="0" fontId="5" fillId="0" borderId="6" xfId="0" applyFont="1" applyBorder="1" applyAlignment="1">
      <alignment wrapText="1"/>
    </xf>
    <xf numFmtId="0" fontId="4" fillId="0" borderId="6" xfId="0" applyFont="1" applyBorder="1" applyAlignment="1">
      <alignment wrapText="1"/>
    </xf>
    <xf numFmtId="0" fontId="2" fillId="0" borderId="6" xfId="0" applyFont="1" applyBorder="1" applyAlignment="1">
      <alignment horizontal="left" vertical="center" wrapText="1"/>
    </xf>
    <xf numFmtId="4" fontId="2" fillId="0" borderId="8" xfId="0" applyNumberFormat="1" applyFont="1" applyBorder="1" applyAlignment="1">
      <alignment horizontal="center" vertical="center"/>
    </xf>
    <xf numFmtId="0" fontId="3" fillId="0" borderId="6" xfId="0" applyFont="1" applyBorder="1" applyAlignment="1">
      <alignment horizontal="left" vertical="center" wrapText="1"/>
    </xf>
    <xf numFmtId="0" fontId="2" fillId="0" borderId="0" xfId="0" applyFont="1" applyAlignment="1"/>
    <xf numFmtId="4" fontId="2" fillId="0" borderId="8" xfId="0" applyNumberFormat="1" applyFont="1" applyBorder="1" applyAlignment="1">
      <alignment horizontal="right" vertical="center"/>
    </xf>
    <xf numFmtId="0" fontId="1" fillId="0" borderId="6" xfId="0" applyFont="1" applyFill="1" applyBorder="1" applyAlignment="1">
      <alignment horizontal="right" vertical="center" wrapText="1"/>
    </xf>
    <xf numFmtId="4" fontId="19" fillId="0" borderId="8" xfId="0" applyNumberFormat="1" applyFont="1" applyBorder="1" applyAlignment="1">
      <alignment vertical="center"/>
    </xf>
    <xf numFmtId="0" fontId="4" fillId="0" borderId="6" xfId="0" applyFont="1" applyBorder="1" applyAlignment="1">
      <alignment horizontal="left"/>
    </xf>
    <xf numFmtId="0" fontId="13" fillId="0" borderId="0" xfId="0" applyFont="1" applyBorder="1" applyAlignment="1">
      <alignment horizontal="left"/>
    </xf>
    <xf numFmtId="0" fontId="3" fillId="0" borderId="0" xfId="0" applyFont="1" applyBorder="1" applyAlignment="1">
      <alignment wrapText="1"/>
    </xf>
    <xf numFmtId="0" fontId="3" fillId="0" borderId="0" xfId="0" applyFont="1"/>
    <xf numFmtId="0" fontId="1" fillId="0" borderId="10" xfId="0" applyFont="1" applyBorder="1" applyAlignment="1">
      <alignment horizontal="right" vertical="center" wrapText="1"/>
    </xf>
    <xf numFmtId="0" fontId="3" fillId="0" borderId="6" xfId="0" applyFont="1" applyFill="1" applyBorder="1" applyAlignment="1">
      <alignment horizontal="left" vertical="center" wrapText="1"/>
    </xf>
    <xf numFmtId="0" fontId="11" fillId="0" borderId="6" xfId="0" applyFont="1" applyFill="1" applyBorder="1" applyAlignment="1">
      <alignment wrapText="1"/>
    </xf>
    <xf numFmtId="0" fontId="15" fillId="0" borderId="6" xfId="0" applyFont="1" applyFill="1" applyBorder="1" applyAlignment="1">
      <alignment wrapText="1"/>
    </xf>
    <xf numFmtId="0" fontId="5" fillId="0" borderId="6" xfId="0" applyFont="1" applyFill="1" applyBorder="1" applyAlignment="1">
      <alignment horizontal="left" wrapText="1"/>
    </xf>
    <xf numFmtId="0" fontId="12" fillId="0" borderId="6" xfId="0" applyFont="1" applyFill="1" applyBorder="1" applyAlignment="1">
      <alignment wrapText="1"/>
    </xf>
    <xf numFmtId="0" fontId="10" fillId="0" borderId="6" xfId="0" applyFont="1" applyFill="1" applyBorder="1" applyAlignment="1">
      <alignment horizontal="right" vertical="center" wrapText="1"/>
    </xf>
    <xf numFmtId="4" fontId="17" fillId="0" borderId="8" xfId="0" applyNumberFormat="1" applyFont="1" applyFill="1" applyBorder="1" applyAlignment="1">
      <alignment vertical="center"/>
    </xf>
    <xf numFmtId="0" fontId="2" fillId="0" borderId="6" xfId="0" applyFont="1" applyFill="1" applyBorder="1" applyAlignment="1">
      <alignment horizontal="center" vertical="center" wrapText="1"/>
    </xf>
    <xf numFmtId="4" fontId="9" fillId="0" borderId="8" xfId="0" applyNumberFormat="1" applyFont="1" applyFill="1" applyBorder="1" applyAlignment="1">
      <alignment vertical="center"/>
    </xf>
    <xf numFmtId="0" fontId="28" fillId="0" borderId="1" xfId="0" applyFont="1" applyFill="1" applyBorder="1" applyAlignment="1">
      <alignment horizontal="center" vertical="center"/>
    </xf>
    <xf numFmtId="0" fontId="28" fillId="0" borderId="2" xfId="0" applyFont="1" applyFill="1" applyBorder="1" applyAlignment="1">
      <alignment horizontal="center" vertical="center" wrapText="1"/>
    </xf>
    <xf numFmtId="0" fontId="28" fillId="0" borderId="2" xfId="0" applyFont="1" applyFill="1" applyBorder="1" applyAlignment="1">
      <alignment horizontal="center" vertical="center"/>
    </xf>
    <xf numFmtId="0" fontId="28" fillId="0" borderId="3" xfId="0" applyFont="1" applyFill="1" applyBorder="1" applyAlignment="1">
      <alignment horizontal="center" vertical="center"/>
    </xf>
    <xf numFmtId="4" fontId="28" fillId="0" borderId="4" xfId="0" applyNumberFormat="1" applyFont="1" applyFill="1" applyBorder="1" applyAlignment="1">
      <alignment horizontal="center" vertical="center"/>
    </xf>
    <xf numFmtId="0" fontId="2" fillId="0" borderId="6" xfId="0" applyFont="1" applyFill="1" applyBorder="1" applyAlignment="1">
      <alignment horizontal="right" vertical="center" wrapText="1"/>
    </xf>
    <xf numFmtId="0" fontId="29" fillId="0" borderId="6"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30" fillId="0" borderId="5" xfId="0" applyFont="1" applyFill="1" applyBorder="1" applyAlignment="1">
      <alignment horizontal="center" vertical="center"/>
    </xf>
    <xf numFmtId="0" fontId="30" fillId="0" borderId="6" xfId="0" applyFont="1" applyFill="1" applyBorder="1" applyAlignment="1">
      <alignment horizontal="center" vertical="center"/>
    </xf>
    <xf numFmtId="0" fontId="30" fillId="0" borderId="7" xfId="0" applyFont="1" applyFill="1" applyBorder="1" applyAlignment="1">
      <alignment horizontal="center" vertical="center"/>
    </xf>
    <xf numFmtId="4" fontId="1" fillId="0" borderId="8" xfId="0" applyNumberFormat="1" applyFont="1" applyFill="1" applyBorder="1" applyAlignment="1">
      <alignment vertical="center"/>
    </xf>
    <xf numFmtId="0" fontId="4" fillId="0" borderId="6" xfId="0" applyFont="1" applyFill="1" applyBorder="1" applyAlignment="1">
      <alignment horizontal="left" vertical="top"/>
    </xf>
    <xf numFmtId="0" fontId="13" fillId="0" borderId="6" xfId="0" applyFont="1" applyFill="1" applyBorder="1" applyAlignment="1">
      <alignment wrapText="1"/>
    </xf>
    <xf numFmtId="0" fontId="13" fillId="0" borderId="6" xfId="0" applyFont="1" applyFill="1" applyBorder="1" applyAlignment="1">
      <alignment horizontal="left"/>
    </xf>
    <xf numFmtId="0" fontId="30" fillId="0" borderId="9" xfId="0" applyFont="1" applyFill="1" applyBorder="1" applyAlignment="1">
      <alignment horizontal="center" vertical="center"/>
    </xf>
    <xf numFmtId="0" fontId="30" fillId="0" borderId="10" xfId="0" applyFont="1" applyFill="1" applyBorder="1" applyAlignment="1">
      <alignment horizontal="center" vertical="center"/>
    </xf>
    <xf numFmtId="0" fontId="30" fillId="0" borderId="11" xfId="0" applyFont="1" applyFill="1" applyBorder="1" applyAlignment="1">
      <alignment horizontal="center" vertical="center"/>
    </xf>
    <xf numFmtId="0" fontId="10" fillId="0" borderId="6" xfId="0" applyFont="1" applyFill="1" applyBorder="1" applyAlignment="1">
      <alignment horizontal="left" vertical="center" wrapText="1"/>
    </xf>
    <xf numFmtId="0" fontId="14" fillId="0" borderId="6" xfId="0" applyFont="1" applyFill="1" applyBorder="1"/>
    <xf numFmtId="0" fontId="9" fillId="0" borderId="6" xfId="0" applyFont="1" applyFill="1" applyBorder="1" applyAlignment="1">
      <alignment horizontal="right" vertical="center" wrapText="1"/>
    </xf>
    <xf numFmtId="0" fontId="8" fillId="0" borderId="5"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4" fontId="8" fillId="0" borderId="8" xfId="0" applyNumberFormat="1" applyFont="1" applyFill="1" applyBorder="1" applyAlignment="1">
      <alignment horizontal="center" vertical="center"/>
    </xf>
    <xf numFmtId="0" fontId="8" fillId="0" borderId="6" xfId="0" applyFont="1" applyFill="1" applyBorder="1" applyAlignment="1">
      <alignment horizontal="center" wrapText="1"/>
    </xf>
    <xf numFmtId="0" fontId="4" fillId="0" borderId="6" xfId="0" applyFont="1" applyFill="1" applyBorder="1"/>
    <xf numFmtId="0" fontId="2" fillId="0" borderId="0" xfId="0" applyFont="1" applyFill="1" applyBorder="1"/>
    <xf numFmtId="0" fontId="33" fillId="0" borderId="6" xfId="0" applyFont="1" applyFill="1" applyBorder="1" applyAlignment="1">
      <alignment wrapText="1"/>
    </xf>
    <xf numFmtId="166" fontId="5" fillId="0" borderId="6" xfId="0" applyNumberFormat="1" applyFont="1" applyFill="1" applyBorder="1" applyAlignment="1">
      <alignment wrapText="1"/>
    </xf>
    <xf numFmtId="166" fontId="4" fillId="0" borderId="6" xfId="0" applyNumberFormat="1" applyFont="1" applyFill="1" applyBorder="1"/>
    <xf numFmtId="166" fontId="4" fillId="0" borderId="6" xfId="0" applyNumberFormat="1" applyFont="1" applyFill="1" applyBorder="1" applyAlignment="1">
      <alignment wrapText="1"/>
    </xf>
    <xf numFmtId="0" fontId="17" fillId="0" borderId="6" xfId="0" applyFont="1" applyFill="1" applyBorder="1" applyAlignment="1">
      <alignment vertical="center" wrapText="1"/>
    </xf>
    <xf numFmtId="0" fontId="3" fillId="0" borderId="0" xfId="0" applyFont="1" applyFill="1" applyBorder="1"/>
    <xf numFmtId="0" fontId="9" fillId="0" borderId="6" xfId="0" applyFont="1" applyFill="1" applyBorder="1" applyAlignment="1">
      <alignment vertical="center" wrapText="1"/>
    </xf>
    <xf numFmtId="3" fontId="4" fillId="0" borderId="7" xfId="0" applyNumberFormat="1" applyFont="1" applyFill="1" applyBorder="1" applyAlignment="1">
      <alignment horizontal="center" vertical="center"/>
    </xf>
    <xf numFmtId="0" fontId="10" fillId="0" borderId="6" xfId="0" applyFont="1" applyBorder="1" applyAlignment="1">
      <alignment vertical="center" wrapText="1"/>
    </xf>
    <xf numFmtId="0" fontId="5" fillId="0" borderId="6" xfId="0" applyFont="1" applyFill="1" applyBorder="1" applyAlignment="1">
      <alignment horizontal="center" wrapText="1"/>
    </xf>
    <xf numFmtId="0" fontId="4" fillId="0" borderId="6" xfId="0" applyFont="1" applyFill="1" applyBorder="1" applyAlignment="1">
      <alignment vertical="top" wrapText="1"/>
    </xf>
    <xf numFmtId="0" fontId="28" fillId="0" borderId="5" xfId="0" applyFont="1" applyFill="1" applyBorder="1" applyAlignment="1">
      <alignment horizontal="center" vertical="center"/>
    </xf>
    <xf numFmtId="0" fontId="28" fillId="0" borderId="6" xfId="0" applyFont="1" applyFill="1" applyBorder="1" applyAlignment="1">
      <alignment horizontal="center" vertical="center" wrapText="1"/>
    </xf>
    <xf numFmtId="0" fontId="28" fillId="0" borderId="6" xfId="0" applyFont="1" applyFill="1" applyBorder="1" applyAlignment="1">
      <alignment horizontal="center" vertical="center"/>
    </xf>
    <xf numFmtId="0" fontId="28" fillId="0" borderId="7" xfId="0" applyFont="1" applyFill="1" applyBorder="1" applyAlignment="1">
      <alignment horizontal="center" vertical="center"/>
    </xf>
    <xf numFmtId="4" fontId="28" fillId="0" borderId="8" xfId="0" applyNumberFormat="1" applyFont="1" applyFill="1" applyBorder="1" applyAlignment="1">
      <alignment horizontal="center" vertical="center"/>
    </xf>
    <xf numFmtId="4" fontId="4" fillId="0" borderId="8" xfId="1" applyNumberFormat="1" applyFont="1" applyFill="1" applyBorder="1" applyAlignment="1">
      <alignment vertical="center" wrapText="1"/>
    </xf>
    <xf numFmtId="0" fontId="4" fillId="0" borderId="7" xfId="0" applyFont="1" applyFill="1" applyBorder="1" applyAlignment="1">
      <alignment horizontal="center" vertical="center" wrapText="1"/>
    </xf>
    <xf numFmtId="0" fontId="4" fillId="0" borderId="0" xfId="0" applyFont="1" applyFill="1" applyBorder="1" applyAlignment="1">
      <alignment wrapText="1"/>
    </xf>
    <xf numFmtId="0" fontId="3" fillId="0" borderId="5" xfId="0" applyFont="1" applyFill="1" applyBorder="1" applyAlignment="1">
      <alignment horizontal="center" vertical="center"/>
    </xf>
    <xf numFmtId="0" fontId="5" fillId="0" borderId="0" xfId="0" applyFont="1" applyFill="1" applyBorder="1" applyAlignment="1">
      <alignment wrapText="1"/>
    </xf>
    <xf numFmtId="0" fontId="3" fillId="0" borderId="6" xfId="0" applyFont="1" applyFill="1" applyBorder="1" applyAlignment="1">
      <alignment horizontal="center" vertical="center"/>
    </xf>
    <xf numFmtId="0" fontId="3" fillId="0" borderId="7" xfId="0" applyFont="1" applyFill="1" applyBorder="1" applyAlignment="1">
      <alignment horizontal="center" vertical="center"/>
    </xf>
    <xf numFmtId="4" fontId="3" fillId="0" borderId="8" xfId="0" applyNumberFormat="1" applyFont="1" applyFill="1" applyBorder="1" applyAlignment="1">
      <alignment vertical="center"/>
    </xf>
    <xf numFmtId="0" fontId="34" fillId="0" borderId="0" xfId="0" applyFont="1"/>
    <xf numFmtId="0" fontId="15" fillId="0" borderId="6" xfId="1" applyNumberFormat="1" applyFont="1" applyFill="1" applyBorder="1" applyAlignment="1">
      <alignment horizontal="center"/>
    </xf>
    <xf numFmtId="0" fontId="1" fillId="0" borderId="6" xfId="0" applyFont="1" applyFill="1" applyBorder="1" applyAlignment="1">
      <alignment horizontal="center" vertical="center" wrapText="1"/>
    </xf>
    <xf numFmtId="0" fontId="4" fillId="0" borderId="5" xfId="0" applyFont="1" applyFill="1" applyBorder="1" applyAlignment="1">
      <alignment horizontal="center"/>
    </xf>
    <xf numFmtId="0" fontId="4" fillId="0" borderId="6" xfId="0" applyFont="1" applyFill="1" applyBorder="1" applyAlignment="1">
      <alignment horizontal="center"/>
    </xf>
    <xf numFmtId="0" fontId="4" fillId="0" borderId="6" xfId="1" applyNumberFormat="1" applyFont="1" applyFill="1" applyBorder="1" applyAlignment="1">
      <alignment horizontal="center"/>
    </xf>
    <xf numFmtId="3" fontId="4" fillId="0" borderId="0" xfId="0" applyNumberFormat="1" applyFont="1" applyFill="1" applyBorder="1" applyAlignment="1">
      <alignment horizontal="center"/>
    </xf>
    <xf numFmtId="3" fontId="4" fillId="0" borderId="8" xfId="0" applyNumberFormat="1" applyFont="1" applyFill="1" applyBorder="1" applyAlignment="1">
      <alignment horizontal="center"/>
    </xf>
    <xf numFmtId="0" fontId="1" fillId="0" borderId="6"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7" fillId="0" borderId="5" xfId="0" applyFont="1" applyFill="1" applyBorder="1" applyAlignment="1">
      <alignment horizontal="center" vertical="center"/>
    </xf>
    <xf numFmtId="0" fontId="17" fillId="0" borderId="6" xfId="0" applyFont="1" applyFill="1" applyBorder="1" applyAlignment="1">
      <alignment horizontal="left" vertical="center" wrapText="1"/>
    </xf>
    <xf numFmtId="0" fontId="17" fillId="0" borderId="6" xfId="0" applyFont="1" applyFill="1" applyBorder="1" applyAlignment="1">
      <alignment horizontal="center" vertical="center"/>
    </xf>
    <xf numFmtId="0" fontId="3" fillId="0" borderId="6" xfId="0" applyFont="1" applyFill="1" applyBorder="1" applyAlignment="1">
      <alignment horizontal="center" vertical="center" wrapText="1"/>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wrapText="1"/>
    </xf>
    <xf numFmtId="3" fontId="4" fillId="0" borderId="8" xfId="1" applyNumberFormat="1" applyFont="1" applyFill="1" applyBorder="1" applyAlignment="1">
      <alignment vertical="center" wrapText="1"/>
    </xf>
    <xf numFmtId="1" fontId="4" fillId="0" borderId="6" xfId="0" applyNumberFormat="1" applyFont="1" applyFill="1" applyBorder="1" applyAlignment="1">
      <alignment horizontal="center" vertical="center" wrapText="1"/>
    </xf>
    <xf numFmtId="4" fontId="8" fillId="0" borderId="8" xfId="1" applyNumberFormat="1" applyFont="1" applyFill="1" applyBorder="1" applyAlignment="1">
      <alignment vertical="center" wrapText="1"/>
    </xf>
    <xf numFmtId="0" fontId="5" fillId="0" borderId="6" xfId="0" applyFont="1" applyFill="1" applyBorder="1" applyAlignment="1">
      <alignment horizontal="left"/>
    </xf>
    <xf numFmtId="1" fontId="4" fillId="0" borderId="6" xfId="0" applyNumberFormat="1" applyFont="1" applyFill="1" applyBorder="1" applyAlignment="1">
      <alignment horizontal="center"/>
    </xf>
    <xf numFmtId="0" fontId="4" fillId="0" borderId="8" xfId="0" applyFont="1" applyFill="1" applyBorder="1" applyAlignment="1">
      <alignment horizontal="center"/>
    </xf>
    <xf numFmtId="0" fontId="8" fillId="0" borderId="6" xfId="0" applyFont="1" applyFill="1" applyBorder="1" applyAlignment="1">
      <alignment horizontal="left" vertical="top"/>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4" fontId="1" fillId="0" borderId="4" xfId="0" applyNumberFormat="1"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4" fontId="1" fillId="0" borderId="8" xfId="0" applyNumberFormat="1" applyFont="1" applyFill="1" applyBorder="1" applyAlignment="1">
      <alignment horizontal="center" vertical="center"/>
    </xf>
    <xf numFmtId="0" fontId="8" fillId="0" borderId="0" xfId="0" applyFont="1" applyFill="1" applyBorder="1" applyAlignment="1">
      <alignment vertical="center" wrapText="1"/>
    </xf>
    <xf numFmtId="0" fontId="5" fillId="0" borderId="6" xfId="0" applyFont="1" applyBorder="1" applyAlignment="1"/>
    <xf numFmtId="0" fontId="16" fillId="0" borderId="27" xfId="0" applyFont="1" applyBorder="1" applyAlignment="1">
      <alignment horizontal="center" vertical="center"/>
    </xf>
    <xf numFmtId="0" fontId="18" fillId="0" borderId="31" xfId="0" applyFont="1" applyBorder="1" applyAlignment="1">
      <alignment horizontal="right" vertical="center" wrapText="1"/>
    </xf>
    <xf numFmtId="0" fontId="10" fillId="0" borderId="31" xfId="0" applyFont="1" applyBorder="1" applyAlignment="1">
      <alignment horizontal="center" vertical="center"/>
    </xf>
    <xf numFmtId="0" fontId="10" fillId="0" borderId="39" xfId="0" applyFont="1" applyBorder="1" applyAlignment="1">
      <alignment horizontal="center" vertical="center"/>
    </xf>
    <xf numFmtId="4" fontId="17" fillId="0" borderId="32" xfId="0" applyNumberFormat="1" applyFont="1" applyBorder="1" applyAlignment="1">
      <alignment vertical="center"/>
    </xf>
    <xf numFmtId="0" fontId="23" fillId="0" borderId="1" xfId="0" applyFont="1" applyBorder="1" applyAlignment="1">
      <alignment horizontal="center" vertical="center"/>
    </xf>
    <xf numFmtId="0" fontId="23" fillId="0" borderId="2" xfId="0" applyFont="1" applyBorder="1" applyAlignment="1">
      <alignment horizontal="center" vertical="center" wrapText="1"/>
    </xf>
    <xf numFmtId="0" fontId="23" fillId="0" borderId="2" xfId="0" applyFont="1" applyBorder="1" applyAlignment="1">
      <alignment horizontal="center" vertical="center"/>
    </xf>
    <xf numFmtId="0" fontId="23" fillId="0" borderId="3" xfId="0" applyFont="1" applyBorder="1" applyAlignment="1">
      <alignment horizontal="center" vertical="center"/>
    </xf>
    <xf numFmtId="4" fontId="23" fillId="0" borderId="4" xfId="0" applyNumberFormat="1" applyFont="1" applyBorder="1" applyAlignment="1">
      <alignment horizontal="center" vertical="center"/>
    </xf>
    <xf numFmtId="0" fontId="10" fillId="0" borderId="5" xfId="0" applyFont="1" applyBorder="1" applyAlignment="1">
      <alignment horizontal="center" vertical="center"/>
    </xf>
    <xf numFmtId="0" fontId="20" fillId="0" borderId="6" xfId="0" applyFont="1" applyBorder="1" applyAlignment="1">
      <alignment vertical="center" wrapText="1"/>
    </xf>
    <xf numFmtId="0" fontId="10" fillId="0" borderId="7" xfId="0" applyFont="1" applyBorder="1" applyAlignment="1">
      <alignment horizontal="center" vertical="center"/>
    </xf>
    <xf numFmtId="0" fontId="16" fillId="0" borderId="6" xfId="0" applyFont="1" applyBorder="1" applyAlignment="1">
      <alignment vertical="center" wrapText="1"/>
    </xf>
    <xf numFmtId="0" fontId="15" fillId="0" borderId="6" xfId="0" applyFont="1" applyBorder="1" applyAlignment="1">
      <alignment wrapText="1"/>
    </xf>
    <xf numFmtId="0" fontId="11" fillId="0" borderId="6" xfId="0" applyFont="1" applyBorder="1" applyAlignment="1">
      <alignment wrapText="1"/>
    </xf>
    <xf numFmtId="0" fontId="10" fillId="0" borderId="0" xfId="0" applyFont="1" applyBorder="1" applyAlignment="1">
      <alignment wrapText="1"/>
    </xf>
    <xf numFmtId="0" fontId="21" fillId="0" borderId="6" xfId="0" applyFont="1" applyBorder="1" applyAlignment="1">
      <alignment wrapText="1"/>
    </xf>
    <xf numFmtId="0" fontId="10" fillId="0" borderId="9" xfId="0" applyFont="1" applyBorder="1" applyAlignment="1">
      <alignment horizontal="center" vertical="center"/>
    </xf>
    <xf numFmtId="0" fontId="18" fillId="0" borderId="10" xfId="0" applyFont="1" applyBorder="1" applyAlignment="1">
      <alignment horizontal="right" vertical="center" wrapText="1"/>
    </xf>
    <xf numFmtId="0" fontId="10" fillId="0" borderId="10" xfId="0" applyFont="1" applyBorder="1" applyAlignment="1">
      <alignment horizontal="center" vertical="center"/>
    </xf>
    <xf numFmtId="0" fontId="10" fillId="0" borderId="11" xfId="0" applyFont="1" applyBorder="1" applyAlignment="1">
      <alignment horizontal="center" vertical="center"/>
    </xf>
    <xf numFmtId="4" fontId="17" fillId="0" borderId="12" xfId="0" applyNumberFormat="1" applyFont="1" applyBorder="1" applyAlignment="1">
      <alignment vertical="center"/>
    </xf>
    <xf numFmtId="0" fontId="20" fillId="0" borderId="0" xfId="0" applyFont="1" applyBorder="1" applyAlignment="1">
      <alignment wrapText="1"/>
    </xf>
    <xf numFmtId="0" fontId="11" fillId="0" borderId="6" xfId="0" applyFont="1" applyBorder="1" applyAlignment="1">
      <alignment horizontal="left" wrapText="1"/>
    </xf>
    <xf numFmtId="0" fontId="16" fillId="0" borderId="5" xfId="0" applyFont="1" applyBorder="1" applyAlignment="1">
      <alignment horizontal="center" vertical="center"/>
    </xf>
    <xf numFmtId="0" fontId="10" fillId="0" borderId="7" xfId="0" applyFont="1" applyBorder="1" applyAlignment="1">
      <alignment vertical="center"/>
    </xf>
    <xf numFmtId="0" fontId="22" fillId="0" borderId="6" xfId="0" applyFont="1" applyBorder="1" applyAlignment="1">
      <alignment wrapText="1"/>
    </xf>
    <xf numFmtId="0" fontId="15" fillId="0" borderId="6" xfId="0" applyFont="1" applyBorder="1" applyAlignment="1">
      <alignment horizontal="left"/>
    </xf>
    <xf numFmtId="0" fontId="10" fillId="0" borderId="6" xfId="0" applyFont="1" applyBorder="1" applyAlignment="1">
      <alignment horizontal="right" vertical="center" wrapText="1"/>
    </xf>
    <xf numFmtId="0" fontId="10" fillId="0" borderId="6" xfId="0" applyFont="1" applyBorder="1" applyAlignment="1">
      <alignment horizontal="center" vertical="center" wrapText="1"/>
    </xf>
    <xf numFmtId="4" fontId="17" fillId="0" borderId="8" xfId="0" applyNumberFormat="1" applyFont="1" applyBorder="1" applyAlignment="1">
      <alignment vertical="center"/>
    </xf>
    <xf numFmtId="0" fontId="24" fillId="0" borderId="6" xfId="0" applyFont="1" applyBorder="1" applyAlignment="1">
      <alignment horizontal="center" vertical="center" wrapText="1"/>
    </xf>
    <xf numFmtId="0" fontId="21" fillId="0" borderId="6" xfId="0" applyFont="1" applyBorder="1" applyAlignment="1">
      <alignment horizontal="center" vertical="center" wrapText="1"/>
    </xf>
    <xf numFmtId="0" fontId="25" fillId="0" borderId="6" xfId="0" applyFont="1" applyBorder="1" applyAlignment="1">
      <alignment wrapText="1"/>
    </xf>
    <xf numFmtId="0" fontId="26" fillId="0" borderId="5" xfId="0" applyFont="1" applyBorder="1" applyAlignment="1">
      <alignment horizontal="center" vertical="center"/>
    </xf>
    <xf numFmtId="0" fontId="18" fillId="0" borderId="6" xfId="0" applyFont="1" applyBorder="1" applyAlignment="1">
      <alignment horizontal="right" vertical="center" wrapText="1"/>
    </xf>
    <xf numFmtId="0" fontId="26" fillId="0" borderId="6" xfId="0" applyFont="1" applyBorder="1" applyAlignment="1">
      <alignment horizontal="center" vertical="center"/>
    </xf>
    <xf numFmtId="0" fontId="26" fillId="0" borderId="7" xfId="0" applyFont="1" applyBorder="1" applyAlignment="1">
      <alignment horizontal="center" vertical="center"/>
    </xf>
    <xf numFmtId="4" fontId="18" fillId="0" borderId="8" xfId="0" applyNumberFormat="1" applyFont="1" applyBorder="1" applyAlignment="1">
      <alignment vertical="center"/>
    </xf>
    <xf numFmtId="0" fontId="15" fillId="0" borderId="6" xfId="0" applyFont="1" applyBorder="1" applyAlignment="1">
      <alignment horizontal="left" vertical="top"/>
    </xf>
    <xf numFmtId="0" fontId="27" fillId="0" borderId="6" xfId="0" applyFont="1" applyBorder="1" applyAlignment="1">
      <alignment wrapText="1"/>
    </xf>
    <xf numFmtId="0" fontId="27" fillId="0" borderId="6" xfId="0" applyFont="1" applyBorder="1" applyAlignment="1">
      <alignment horizontal="left"/>
    </xf>
    <xf numFmtId="0" fontId="16" fillId="0" borderId="6" xfId="0" applyFont="1" applyBorder="1" applyAlignment="1">
      <alignment horizontal="center" vertical="center"/>
    </xf>
    <xf numFmtId="0" fontId="16" fillId="0" borderId="7" xfId="0" applyFont="1" applyBorder="1" applyAlignment="1">
      <alignment horizontal="center" vertical="center"/>
    </xf>
    <xf numFmtId="4" fontId="16" fillId="0" borderId="8" xfId="0" applyNumberFormat="1" applyFont="1" applyBorder="1" applyAlignment="1">
      <alignment vertic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15" fillId="0" borderId="6" xfId="0" applyFont="1" applyBorder="1" applyAlignment="1">
      <alignment horizontal="left" wrapText="1"/>
    </xf>
    <xf numFmtId="0" fontId="31" fillId="0" borderId="6" xfId="0" applyFont="1" applyBorder="1"/>
    <xf numFmtId="0" fontId="20" fillId="0" borderId="6" xfId="0" applyFont="1" applyBorder="1" applyAlignment="1">
      <alignment horizontal="left" vertical="center" wrapText="1"/>
    </xf>
    <xf numFmtId="0" fontId="17" fillId="0" borderId="6" xfId="0" applyFont="1" applyBorder="1" applyAlignment="1">
      <alignment horizontal="right" vertical="center" wrapText="1"/>
    </xf>
    <xf numFmtId="0" fontId="10" fillId="0" borderId="6" xfId="0" applyFont="1" applyBorder="1" applyAlignment="1">
      <alignment horizontal="left" vertical="center" wrapText="1"/>
    </xf>
    <xf numFmtId="0" fontId="18" fillId="0" borderId="10" xfId="0" applyFont="1" applyBorder="1" applyAlignment="1">
      <alignment horizontal="center" vertical="center" wrapText="1"/>
    </xf>
    <xf numFmtId="2" fontId="10" fillId="0" borderId="6" xfId="0" applyNumberFormat="1" applyFont="1" applyBorder="1" applyAlignment="1">
      <alignment horizontal="center" vertical="center"/>
    </xf>
    <xf numFmtId="0" fontId="11" fillId="0" borderId="6" xfId="0" applyFont="1" applyBorder="1" applyAlignment="1">
      <alignment vertical="center" wrapText="1"/>
    </xf>
    <xf numFmtId="0" fontId="15" fillId="0" borderId="6" xfId="0" applyFont="1" applyBorder="1" applyAlignment="1">
      <alignment vertical="center" wrapText="1"/>
    </xf>
    <xf numFmtId="0" fontId="21" fillId="0" borderId="5" xfId="0" applyFont="1" applyBorder="1" applyAlignment="1">
      <alignment horizontal="center" vertical="center"/>
    </xf>
    <xf numFmtId="0" fontId="11" fillId="0" borderId="6" xfId="0" applyFont="1" applyBorder="1" applyAlignment="1">
      <alignment horizontal="left" vertical="center" wrapText="1"/>
    </xf>
    <xf numFmtId="0" fontId="21" fillId="0" borderId="6" xfId="0" applyFont="1" applyBorder="1" applyAlignment="1">
      <alignment horizontal="center" vertical="center"/>
    </xf>
    <xf numFmtId="0" fontId="21" fillId="0" borderId="7" xfId="0" applyFont="1" applyBorder="1" applyAlignment="1">
      <alignment horizontal="center" vertical="center"/>
    </xf>
    <xf numFmtId="4" fontId="21" fillId="0" borderId="8" xfId="0" applyNumberFormat="1" applyFont="1" applyBorder="1" applyAlignment="1">
      <alignment horizontal="center" vertical="center"/>
    </xf>
    <xf numFmtId="0" fontId="21" fillId="0" borderId="6" xfId="0" applyFont="1" applyBorder="1" applyAlignment="1">
      <alignment horizontal="center" wrapText="1"/>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4" fontId="15" fillId="0" borderId="8" xfId="1" applyNumberFormat="1" applyFont="1" applyBorder="1" applyAlignment="1">
      <alignment vertical="center"/>
    </xf>
    <xf numFmtId="0" fontId="15" fillId="0" borderId="6" xfId="0" applyFont="1" applyBorder="1"/>
    <xf numFmtId="0" fontId="32" fillId="0" borderId="6" xfId="0" applyFont="1" applyBorder="1" applyAlignment="1">
      <alignment wrapText="1"/>
    </xf>
    <xf numFmtId="166" fontId="11" fillId="0" borderId="6" xfId="0" applyNumberFormat="1" applyFont="1" applyBorder="1" applyAlignment="1">
      <alignment wrapText="1"/>
    </xf>
    <xf numFmtId="166" fontId="15" fillId="0" borderId="6" xfId="0" applyNumberFormat="1" applyFont="1" applyBorder="1"/>
    <xf numFmtId="166" fontId="15" fillId="0" borderId="6" xfId="0" applyNumberFormat="1" applyFont="1" applyBorder="1" applyAlignment="1">
      <alignment wrapText="1"/>
    </xf>
    <xf numFmtId="0" fontId="15" fillId="0" borderId="6" xfId="0" applyFont="1" applyBorder="1" applyAlignment="1">
      <alignment horizontal="center" wrapText="1"/>
    </xf>
    <xf numFmtId="0" fontId="20" fillId="0" borderId="0" xfId="0" applyFont="1" applyBorder="1"/>
    <xf numFmtId="0" fontId="17" fillId="0" borderId="6" xfId="0" applyFont="1" applyBorder="1" applyAlignment="1">
      <alignment vertical="center" wrapText="1"/>
    </xf>
    <xf numFmtId="3" fontId="15" fillId="0" borderId="7" xfId="0" applyNumberFormat="1" applyFont="1" applyBorder="1" applyAlignment="1">
      <alignment horizontal="center" vertical="center"/>
    </xf>
    <xf numFmtId="0" fontId="11" fillId="0" borderId="6" xfId="0" applyFont="1" applyBorder="1" applyAlignment="1">
      <alignment horizontal="center" wrapText="1"/>
    </xf>
    <xf numFmtId="0" fontId="15" fillId="0" borderId="6" xfId="0" applyFont="1" applyBorder="1" applyAlignment="1">
      <alignment vertical="top" wrapText="1"/>
    </xf>
    <xf numFmtId="0" fontId="23" fillId="0" borderId="5" xfId="0" applyFont="1" applyBorder="1" applyAlignment="1">
      <alignment horizontal="center" vertical="center"/>
    </xf>
    <xf numFmtId="0" fontId="23" fillId="0" borderId="6" xfId="0" applyFont="1" applyBorder="1" applyAlignment="1">
      <alignment horizontal="center" vertical="center" wrapText="1"/>
    </xf>
    <xf numFmtId="0" fontId="23" fillId="0" borderId="6" xfId="0" applyFont="1" applyBorder="1" applyAlignment="1">
      <alignment horizontal="center" vertical="center"/>
    </xf>
    <xf numFmtId="0" fontId="23" fillId="0" borderId="7" xfId="0" applyFont="1" applyBorder="1" applyAlignment="1">
      <alignment horizontal="center" vertical="center"/>
    </xf>
    <xf numFmtId="4" fontId="23" fillId="0" borderId="8"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vertical="center" wrapText="1"/>
    </xf>
    <xf numFmtId="4" fontId="15" fillId="0" borderId="8" xfId="1" applyNumberFormat="1" applyFont="1" applyBorder="1" applyAlignment="1">
      <alignment vertical="center" wrapText="1"/>
    </xf>
    <xf numFmtId="0" fontId="15" fillId="0" borderId="7" xfId="0" applyFont="1" applyBorder="1" applyAlignment="1">
      <alignment horizontal="center" vertical="center" wrapText="1"/>
    </xf>
    <xf numFmtId="164" fontId="15" fillId="0" borderId="8" xfId="1" applyFont="1" applyBorder="1" applyAlignment="1">
      <alignment vertical="center"/>
    </xf>
    <xf numFmtId="3" fontId="15" fillId="0" borderId="8" xfId="1" applyNumberFormat="1" applyFont="1" applyBorder="1" applyAlignment="1">
      <alignment vertical="center" wrapText="1"/>
    </xf>
    <xf numFmtId="1" fontId="15" fillId="0" borderId="6" xfId="0" applyNumberFormat="1" applyFont="1" applyBorder="1" applyAlignment="1">
      <alignment horizontal="center" vertical="center" wrapText="1"/>
    </xf>
    <xf numFmtId="0" fontId="15" fillId="0" borderId="5" xfId="0" applyFont="1" applyBorder="1" applyAlignment="1">
      <alignment horizontal="center"/>
    </xf>
    <xf numFmtId="0" fontId="11" fillId="0" borderId="6" xfId="0" applyFont="1" applyBorder="1" applyAlignment="1">
      <alignment horizontal="left"/>
    </xf>
    <xf numFmtId="0" fontId="15" fillId="0" borderId="6" xfId="0" applyFont="1" applyBorder="1" applyAlignment="1">
      <alignment horizontal="center"/>
    </xf>
    <xf numFmtId="1" fontId="15" fillId="0" borderId="6" xfId="0" applyNumberFormat="1" applyFont="1" applyBorder="1" applyAlignment="1">
      <alignment horizontal="center"/>
    </xf>
    <xf numFmtId="0" fontId="15" fillId="0" borderId="8" xfId="0" applyFont="1" applyBorder="1" applyAlignment="1">
      <alignment horizontal="center"/>
    </xf>
    <xf numFmtId="0" fontId="10" fillId="0" borderId="36" xfId="0" applyFont="1" applyBorder="1" applyAlignment="1">
      <alignment horizontal="center" vertical="center"/>
    </xf>
    <xf numFmtId="0" fontId="15" fillId="0" borderId="38" xfId="0" applyFont="1" applyBorder="1" applyAlignment="1">
      <alignment horizontal="left"/>
    </xf>
    <xf numFmtId="0" fontId="10" fillId="0" borderId="38" xfId="0" applyFont="1" applyBorder="1" applyAlignment="1">
      <alignment horizontal="center" vertical="center"/>
    </xf>
    <xf numFmtId="4" fontId="10" fillId="0" borderId="37" xfId="0" applyNumberFormat="1" applyFont="1" applyBorder="1" applyAlignment="1">
      <alignment vertical="center"/>
    </xf>
    <xf numFmtId="0" fontId="18" fillId="0" borderId="6" xfId="0" applyFont="1" applyBorder="1" applyAlignment="1">
      <alignment horizontal="center" vertical="center" wrapText="1"/>
    </xf>
    <xf numFmtId="3" fontId="15" fillId="0" borderId="0" xfId="0" applyNumberFormat="1" applyFont="1" applyBorder="1" applyAlignment="1">
      <alignment horizontal="center"/>
    </xf>
    <xf numFmtId="3" fontId="15" fillId="0" borderId="8" xfId="0" applyNumberFormat="1" applyFont="1" applyBorder="1" applyAlignment="1">
      <alignment horizontal="center"/>
    </xf>
    <xf numFmtId="0" fontId="18" fillId="0" borderId="6" xfId="0" applyFont="1" applyBorder="1" applyAlignment="1">
      <alignment horizontal="left" vertical="center" wrapText="1"/>
    </xf>
    <xf numFmtId="0" fontId="18" fillId="0" borderId="10" xfId="0" applyFont="1" applyBorder="1" applyAlignment="1">
      <alignment horizontal="left" vertical="center" wrapText="1"/>
    </xf>
    <xf numFmtId="0" fontId="23" fillId="0" borderId="2" xfId="0" applyFont="1" applyBorder="1" applyAlignment="1">
      <alignment horizontal="left" vertical="center" wrapText="1"/>
    </xf>
    <xf numFmtId="0" fontId="21" fillId="0" borderId="6" xfId="0" applyFont="1" applyBorder="1" applyAlignment="1">
      <alignment horizontal="left" wrapText="1"/>
    </xf>
    <xf numFmtId="4" fontId="15" fillId="0" borderId="8" xfId="0" applyNumberFormat="1" applyFont="1" applyBorder="1"/>
    <xf numFmtId="0" fontId="27" fillId="0" borderId="6" xfId="0" applyFont="1" applyBorder="1" applyAlignment="1">
      <alignment horizontal="left" wrapText="1"/>
    </xf>
    <xf numFmtId="0" fontId="15" fillId="0" borderId="6" xfId="0" applyFont="1" applyBorder="1" applyAlignment="1">
      <alignment horizontal="left" vertical="center" wrapText="1"/>
    </xf>
    <xf numFmtId="0" fontId="20" fillId="0" borderId="6" xfId="0" applyFont="1" applyBorder="1" applyAlignment="1">
      <alignment horizontal="center" vertical="center" wrapText="1"/>
    </xf>
    <xf numFmtId="0" fontId="20" fillId="0" borderId="6"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wrapText="1"/>
    </xf>
    <xf numFmtId="0" fontId="10" fillId="0" borderId="27" xfId="0" applyFont="1" applyBorder="1" applyAlignment="1">
      <alignment horizontal="center" vertical="center"/>
    </xf>
    <xf numFmtId="0" fontId="15" fillId="0" borderId="31" xfId="0" applyFont="1" applyBorder="1" applyAlignment="1">
      <alignment horizontal="left"/>
    </xf>
    <xf numFmtId="4" fontId="10" fillId="0" borderId="32" xfId="0" applyNumberFormat="1" applyFont="1" applyBorder="1" applyAlignment="1">
      <alignment vertical="center"/>
    </xf>
    <xf numFmtId="1" fontId="10" fillId="0" borderId="6" xfId="0" applyNumberFormat="1" applyFont="1" applyBorder="1" applyAlignment="1">
      <alignment horizontal="center" vertical="center"/>
    </xf>
    <xf numFmtId="0" fontId="10" fillId="0" borderId="0" xfId="0" applyFont="1" applyBorder="1" applyAlignment="1"/>
    <xf numFmtId="0" fontId="10" fillId="0" borderId="0" xfId="0" applyFont="1" applyBorder="1" applyAlignment="1">
      <alignment horizontal="left" vertical="center" wrapText="1"/>
    </xf>
    <xf numFmtId="0" fontId="10" fillId="0" borderId="0" xfId="0" applyFont="1" applyBorder="1" applyAlignment="1">
      <alignment vertical="center" wrapText="1"/>
    </xf>
    <xf numFmtId="4" fontId="21" fillId="0" borderId="8" xfId="1" applyNumberFormat="1" applyFont="1" applyBorder="1" applyAlignment="1">
      <alignment vertical="center" wrapText="1"/>
    </xf>
    <xf numFmtId="0" fontId="20" fillId="0" borderId="0" xfId="0" applyFont="1"/>
    <xf numFmtId="0" fontId="10" fillId="0" borderId="0" xfId="0" applyFont="1" applyAlignment="1">
      <alignment wrapText="1"/>
    </xf>
    <xf numFmtId="0" fontId="15" fillId="0" borderId="0" xfId="0" applyFont="1" applyBorder="1" applyAlignment="1">
      <alignment wrapText="1"/>
    </xf>
    <xf numFmtId="0" fontId="11" fillId="0" borderId="0" xfId="0" applyFont="1" applyBorder="1" applyAlignment="1">
      <alignment wrapText="1"/>
    </xf>
    <xf numFmtId="0" fontId="23" fillId="0" borderId="0" xfId="0" applyFont="1" applyBorder="1" applyAlignment="1">
      <alignment horizontal="center" vertical="center" wrapText="1"/>
    </xf>
    <xf numFmtId="0" fontId="21" fillId="0" borderId="6" xfId="0" applyFont="1" applyBorder="1" applyAlignment="1">
      <alignment horizontal="left" vertical="top"/>
    </xf>
    <xf numFmtId="0" fontId="16" fillId="0" borderId="6" xfId="0" applyFont="1" applyBorder="1" applyAlignment="1">
      <alignment horizontal="center" vertical="center" wrapText="1"/>
    </xf>
    <xf numFmtId="4" fontId="16" fillId="0" borderId="8" xfId="0" applyNumberFormat="1" applyFont="1" applyBorder="1" applyAlignment="1">
      <alignment horizontal="center" vertical="center"/>
    </xf>
    <xf numFmtId="0" fontId="35" fillId="0" borderId="6" xfId="0" applyFont="1" applyBorder="1" applyAlignment="1">
      <alignment horizontal="center" vertical="center" wrapText="1"/>
    </xf>
    <xf numFmtId="0" fontId="10" fillId="0" borderId="13" xfId="0" applyFont="1" applyBorder="1" applyAlignment="1">
      <alignment horizontal="center" vertical="center"/>
    </xf>
    <xf numFmtId="0" fontId="17" fillId="0" borderId="14" xfId="0" applyFont="1" applyBorder="1" applyAlignment="1">
      <alignment horizontal="center" vertical="center" wrapText="1"/>
    </xf>
    <xf numFmtId="0" fontId="10" fillId="0" borderId="14" xfId="0" applyFont="1" applyBorder="1" applyAlignment="1">
      <alignment horizontal="center" vertical="center"/>
    </xf>
    <xf numFmtId="0" fontId="10" fillId="0" borderId="29" xfId="0" applyFont="1" applyBorder="1" applyAlignment="1">
      <alignment horizontal="center" vertical="center"/>
    </xf>
    <xf numFmtId="0" fontId="10" fillId="0" borderId="17" xfId="0" applyFont="1" applyBorder="1" applyAlignment="1">
      <alignment vertical="center" wrapText="1"/>
    </xf>
    <xf numFmtId="0" fontId="10" fillId="0" borderId="17" xfId="0" applyFont="1" applyBorder="1" applyAlignment="1">
      <alignment horizontal="center" vertical="center"/>
    </xf>
    <xf numFmtId="4" fontId="10" fillId="0" borderId="30" xfId="0" applyNumberFormat="1" applyFont="1" applyBorder="1" applyAlignment="1">
      <alignment vertical="center"/>
    </xf>
    <xf numFmtId="0" fontId="10" fillId="0" borderId="22" xfId="0" applyFont="1" applyBorder="1" applyAlignment="1">
      <alignment horizontal="center" vertical="center"/>
    </xf>
    <xf numFmtId="0" fontId="10" fillId="0" borderId="0" xfId="0" applyFont="1" applyBorder="1" applyAlignment="1">
      <alignment horizontal="center" vertical="center"/>
    </xf>
    <xf numFmtId="0" fontId="15" fillId="0" borderId="0" xfId="0" applyFont="1" applyBorder="1" applyAlignment="1">
      <alignment horizontal="left"/>
    </xf>
    <xf numFmtId="0" fontId="16" fillId="0" borderId="22" xfId="0" applyFont="1" applyBorder="1" applyAlignment="1">
      <alignment horizontal="center" vertical="center"/>
    </xf>
    <xf numFmtId="0" fontId="16" fillId="0" borderId="0" xfId="0" applyFont="1" applyBorder="1" applyAlignment="1">
      <alignment vertical="center" wrapText="1"/>
    </xf>
    <xf numFmtId="0" fontId="16" fillId="0" borderId="0" xfId="0" applyFont="1" applyBorder="1" applyAlignment="1">
      <alignment horizontal="center" vertical="center"/>
    </xf>
    <xf numFmtId="4" fontId="16" fillId="0" borderId="21" xfId="0" applyNumberFormat="1" applyFont="1" applyBorder="1" applyAlignment="1">
      <alignment vertical="center"/>
    </xf>
    <xf numFmtId="0" fontId="10" fillId="0" borderId="0" xfId="0" applyFont="1" applyBorder="1" applyAlignment="1">
      <alignment vertical="center"/>
    </xf>
    <xf numFmtId="4" fontId="15" fillId="0" borderId="21" xfId="1" applyNumberFormat="1" applyFont="1" applyBorder="1" applyAlignment="1">
      <alignment vertical="center" wrapText="1"/>
    </xf>
    <xf numFmtId="0" fontId="16" fillId="0" borderId="0" xfId="0" applyFont="1" applyBorder="1" applyAlignment="1">
      <alignment horizontal="center" vertical="center" wrapText="1"/>
    </xf>
    <xf numFmtId="4" fontId="16" fillId="0" borderId="21" xfId="0" applyNumberFormat="1" applyFont="1" applyBorder="1" applyAlignment="1">
      <alignment horizontal="center" vertical="center"/>
    </xf>
    <xf numFmtId="0" fontId="10" fillId="0" borderId="0" xfId="0" applyFont="1" applyBorder="1" applyAlignment="1">
      <alignment horizontal="right" vertical="center" wrapText="1"/>
    </xf>
    <xf numFmtId="0" fontId="15" fillId="0" borderId="0" xfId="0" applyFont="1" applyBorder="1" applyAlignment="1">
      <alignment horizontal="left" wrapText="1"/>
    </xf>
    <xf numFmtId="0" fontId="10" fillId="0" borderId="10" xfId="0" applyFont="1" applyBorder="1" applyAlignment="1">
      <alignment horizontal="right" vertical="center" wrapText="1"/>
    </xf>
    <xf numFmtId="4" fontId="10" fillId="0" borderId="12" xfId="0" applyNumberFormat="1" applyFont="1" applyBorder="1" applyAlignment="1">
      <alignment vertical="center"/>
    </xf>
    <xf numFmtId="0" fontId="10" fillId="0" borderId="1" xfId="0" applyFont="1" applyBorder="1" applyAlignment="1">
      <alignment horizontal="center" vertical="center"/>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4" fontId="10" fillId="0" borderId="4" xfId="0" applyNumberFormat="1" applyFont="1" applyBorder="1" applyAlignment="1">
      <alignment horizontal="center" vertical="center"/>
    </xf>
    <xf numFmtId="4" fontId="15" fillId="0" borderId="8" xfId="0" applyNumberFormat="1" applyFont="1" applyBorder="1" applyAlignment="1">
      <alignment vertical="center"/>
    </xf>
    <xf numFmtId="0" fontId="10" fillId="0" borderId="10" xfId="0" applyFont="1" applyBorder="1" applyAlignment="1">
      <alignment horizontal="center" vertical="center" wrapText="1"/>
    </xf>
    <xf numFmtId="4" fontId="10" fillId="0" borderId="8" xfId="0" applyNumberFormat="1" applyFont="1" applyBorder="1" applyAlignment="1">
      <alignment horizontal="center" vertical="center"/>
    </xf>
    <xf numFmtId="0" fontId="10" fillId="0" borderId="14" xfId="0" applyFont="1" applyBorder="1" applyAlignment="1">
      <alignment horizontal="center" vertical="center" wrapText="1"/>
    </xf>
    <xf numFmtId="0" fontId="15" fillId="0" borderId="17" xfId="0" applyFont="1" applyBorder="1" applyAlignment="1">
      <alignment horizontal="left"/>
    </xf>
    <xf numFmtId="0" fontId="10" fillId="0" borderId="0" xfId="0" applyFont="1" applyBorder="1" applyAlignment="1">
      <alignment horizontal="center" vertical="center" wrapText="1"/>
    </xf>
    <xf numFmtId="4" fontId="10" fillId="0" borderId="21" xfId="0" applyNumberFormat="1" applyFont="1" applyBorder="1" applyAlignment="1">
      <alignment horizontal="center" vertical="center"/>
    </xf>
    <xf numFmtId="0" fontId="10" fillId="0" borderId="18" xfId="0" applyFont="1" applyBorder="1" applyAlignment="1">
      <alignment horizontal="center" vertical="center"/>
    </xf>
    <xf numFmtId="4" fontId="10" fillId="0" borderId="19" xfId="0" applyNumberFormat="1" applyFont="1" applyBorder="1" applyAlignment="1">
      <alignment vertical="center"/>
    </xf>
    <xf numFmtId="0" fontId="36" fillId="0" borderId="6" xfId="0" applyFont="1" applyBorder="1"/>
    <xf numFmtId="0" fontId="36" fillId="0" borderId="6" xfId="0" applyFont="1" applyBorder="1" applyAlignment="1">
      <alignment wrapText="1"/>
    </xf>
    <xf numFmtId="4" fontId="10" fillId="0" borderId="4" xfId="0" applyNumberFormat="1" applyFont="1" applyBorder="1" applyAlignment="1">
      <alignment vertical="center"/>
    </xf>
    <xf numFmtId="0" fontId="37" fillId="0" borderId="0" xfId="2" applyFont="1"/>
    <xf numFmtId="0" fontId="8" fillId="0" borderId="33" xfId="2" applyFont="1" applyBorder="1" applyAlignment="1"/>
    <xf numFmtId="0" fontId="8" fillId="0" borderId="26" xfId="2" applyFont="1" applyBorder="1" applyAlignment="1">
      <alignment horizontal="center" wrapText="1"/>
    </xf>
    <xf numFmtId="4" fontId="8" fillId="0" borderId="42" xfId="2" applyNumberFormat="1" applyFont="1" applyBorder="1" applyAlignment="1">
      <alignment horizontal="center" vertical="center" wrapText="1"/>
    </xf>
    <xf numFmtId="0" fontId="4" fillId="0" borderId="5" xfId="2" applyFont="1" applyBorder="1" applyAlignment="1"/>
    <xf numFmtId="0" fontId="4" fillId="0" borderId="6" xfId="2" applyFont="1" applyBorder="1"/>
    <xf numFmtId="0" fontId="4" fillId="0" borderId="24" xfId="2" applyFont="1" applyBorder="1" applyAlignment="1">
      <alignment horizontal="center" vertical="center"/>
    </xf>
    <xf numFmtId="3" fontId="4" fillId="0" borderId="25" xfId="2" applyNumberFormat="1" applyFont="1" applyBorder="1" applyAlignment="1">
      <alignment horizontal="center" vertical="center"/>
    </xf>
    <xf numFmtId="4" fontId="4" fillId="0" borderId="43" xfId="2" applyNumberFormat="1" applyFont="1" applyBorder="1" applyAlignment="1">
      <alignment vertical="center"/>
    </xf>
    <xf numFmtId="0" fontId="4" fillId="0" borderId="7" xfId="2" applyFont="1" applyBorder="1" applyAlignment="1">
      <alignment horizontal="center" vertical="center"/>
    </xf>
    <xf numFmtId="3" fontId="4" fillId="0" borderId="0" xfId="2" applyNumberFormat="1" applyFont="1" applyBorder="1" applyAlignment="1">
      <alignment horizontal="center" vertical="center"/>
    </xf>
    <xf numFmtId="4" fontId="4" fillId="0" borderId="44" xfId="2" applyNumberFormat="1" applyFont="1" applyBorder="1" applyAlignment="1">
      <alignment vertical="center"/>
    </xf>
    <xf numFmtId="0" fontId="4" fillId="0" borderId="5" xfId="2" applyFont="1" applyBorder="1" applyAlignment="1">
      <alignment horizontal="center"/>
    </xf>
    <xf numFmtId="4" fontId="8" fillId="0" borderId="7" xfId="2" applyNumberFormat="1" applyFont="1" applyBorder="1" applyAlignment="1">
      <alignment horizontal="center"/>
    </xf>
    <xf numFmtId="4" fontId="8" fillId="0" borderId="0" xfId="2" applyNumberFormat="1" applyFont="1" applyAlignment="1">
      <alignment horizontal="center"/>
    </xf>
    <xf numFmtId="0" fontId="4" fillId="0" borderId="6" xfId="2" applyFont="1" applyBorder="1" applyAlignment="1">
      <alignment wrapText="1"/>
    </xf>
    <xf numFmtId="4" fontId="4" fillId="0" borderId="8" xfId="2" applyNumberFormat="1" applyFont="1" applyBorder="1" applyAlignment="1">
      <alignment vertical="center"/>
    </xf>
    <xf numFmtId="4" fontId="8" fillId="0" borderId="7" xfId="2" applyNumberFormat="1" applyFont="1" applyBorder="1" applyAlignment="1">
      <alignment horizontal="center" vertical="center"/>
    </xf>
    <xf numFmtId="4" fontId="8" fillId="0" borderId="0" xfId="2" applyNumberFormat="1" applyFont="1" applyBorder="1" applyAlignment="1">
      <alignment horizontal="center" vertical="center"/>
    </xf>
    <xf numFmtId="0" fontId="8" fillId="0" borderId="7" xfId="2" applyFont="1" applyBorder="1" applyAlignment="1">
      <alignment horizontal="center" vertical="center"/>
    </xf>
    <xf numFmtId="3" fontId="4" fillId="0" borderId="0" xfId="2" applyNumberFormat="1" applyFont="1" applyAlignment="1">
      <alignment horizontal="center" vertical="center"/>
    </xf>
    <xf numFmtId="0" fontId="25" fillId="0" borderId="0" xfId="2" applyFont="1"/>
    <xf numFmtId="4" fontId="8" fillId="0" borderId="45" xfId="2" applyNumberFormat="1" applyFont="1" applyBorder="1" applyAlignment="1">
      <alignment vertical="center"/>
    </xf>
    <xf numFmtId="0" fontId="4" fillId="0" borderId="0" xfId="2" applyFont="1"/>
    <xf numFmtId="3" fontId="4" fillId="0" borderId="0" xfId="2" applyNumberFormat="1" applyFont="1"/>
    <xf numFmtId="4" fontId="4" fillId="0" borderId="0" xfId="2" applyNumberFormat="1" applyFont="1"/>
    <xf numFmtId="0" fontId="4" fillId="0" borderId="0" xfId="2" applyFont="1" applyAlignment="1">
      <alignment horizontal="center" vertical="center"/>
    </xf>
    <xf numFmtId="4" fontId="4" fillId="0" borderId="0" xfId="2" applyNumberFormat="1" applyFont="1" applyAlignment="1">
      <alignment horizontal="center" vertical="center"/>
    </xf>
    <xf numFmtId="0" fontId="6" fillId="0" borderId="0" xfId="2"/>
    <xf numFmtId="0" fontId="6" fillId="0" borderId="0" xfId="2" applyFont="1"/>
    <xf numFmtId="0" fontId="4" fillId="0" borderId="23" xfId="2" applyFont="1" applyBorder="1"/>
    <xf numFmtId="4" fontId="4" fillId="0" borderId="23" xfId="2" applyNumberFormat="1" applyFont="1" applyBorder="1"/>
    <xf numFmtId="3" fontId="4" fillId="0" borderId="23" xfId="2" applyNumberFormat="1" applyFont="1" applyBorder="1"/>
    <xf numFmtId="0" fontId="37" fillId="0" borderId="0" xfId="2" applyFont="1" applyAlignment="1"/>
    <xf numFmtId="0" fontId="37" fillId="0" borderId="0" xfId="2" applyFont="1" applyAlignment="1">
      <alignment horizontal="center" vertical="center"/>
    </xf>
    <xf numFmtId="4" fontId="37" fillId="0" borderId="0" xfId="2" applyNumberFormat="1" applyFont="1" applyAlignment="1">
      <alignment vertical="center"/>
    </xf>
    <xf numFmtId="0" fontId="25" fillId="0" borderId="0" xfId="2" applyFont="1" applyAlignment="1">
      <alignment horizontal="center" vertical="center"/>
    </xf>
    <xf numFmtId="0" fontId="37" fillId="0" borderId="0" xfId="2" applyFont="1" applyAlignment="1">
      <alignment vertical="center"/>
    </xf>
    <xf numFmtId="0" fontId="37" fillId="0" borderId="0" xfId="2" applyFont="1" applyAlignment="1">
      <alignment wrapText="1"/>
    </xf>
    <xf numFmtId="4" fontId="9" fillId="0" borderId="15" xfId="0" applyNumberFormat="1" applyFont="1" applyBorder="1" applyAlignment="1">
      <alignment horizontal="right" vertical="center"/>
    </xf>
    <xf numFmtId="0" fontId="9" fillId="0" borderId="16" xfId="0" applyFont="1" applyBorder="1" applyAlignment="1">
      <alignment horizontal="right" vertical="center"/>
    </xf>
    <xf numFmtId="0" fontId="8" fillId="0" borderId="34" xfId="2" applyFont="1" applyBorder="1" applyAlignment="1">
      <alignment horizontal="center"/>
    </xf>
    <xf numFmtId="0" fontId="8" fillId="0" borderId="35" xfId="2" applyFont="1" applyBorder="1" applyAlignment="1">
      <alignment horizontal="center"/>
    </xf>
    <xf numFmtId="0" fontId="8" fillId="0" borderId="40" xfId="2" applyFont="1" applyBorder="1" applyAlignment="1">
      <alignment horizontal="center"/>
    </xf>
    <xf numFmtId="0" fontId="8" fillId="0" borderId="26" xfId="2" applyFont="1" applyBorder="1" applyAlignment="1">
      <alignment horizontal="center" wrapText="1"/>
    </xf>
    <xf numFmtId="0" fontId="8" fillId="0" borderId="41" xfId="2" applyFont="1" applyBorder="1" applyAlignment="1">
      <alignment horizontal="center" wrapText="1"/>
    </xf>
    <xf numFmtId="4" fontId="8" fillId="0" borderId="7" xfId="2" applyNumberFormat="1" applyFont="1" applyBorder="1" applyAlignment="1">
      <alignment horizontal="center"/>
    </xf>
    <xf numFmtId="4" fontId="8" fillId="0" borderId="0" xfId="2" applyNumberFormat="1" applyFont="1" applyAlignment="1">
      <alignment horizontal="center"/>
    </xf>
    <xf numFmtId="4" fontId="8" fillId="0" borderId="7" xfId="2" applyNumberFormat="1" applyFont="1" applyBorder="1" applyAlignment="1">
      <alignment horizontal="center" vertical="center"/>
    </xf>
    <xf numFmtId="4" fontId="8" fillId="0" borderId="20" xfId="2" applyNumberFormat="1" applyFont="1" applyBorder="1" applyAlignment="1">
      <alignment horizontal="center" vertical="center"/>
    </xf>
    <xf numFmtId="0" fontId="8" fillId="0" borderId="13" xfId="2" applyFont="1" applyBorder="1" applyAlignment="1">
      <alignment horizontal="left" wrapText="1"/>
    </xf>
    <xf numFmtId="0" fontId="8" fillId="0" borderId="14" xfId="2" applyFont="1" applyBorder="1" applyAlignment="1">
      <alignment horizontal="left" wrapText="1"/>
    </xf>
    <xf numFmtId="4" fontId="8" fillId="0" borderId="15" xfId="2" applyNumberFormat="1" applyFont="1" applyBorder="1" applyAlignment="1">
      <alignment horizontal="center" vertical="center"/>
    </xf>
    <xf numFmtId="4" fontId="8" fillId="0" borderId="28" xfId="2" applyNumberFormat="1" applyFont="1" applyBorder="1" applyAlignment="1">
      <alignment horizontal="center" vertical="center"/>
    </xf>
    <xf numFmtId="4" fontId="17" fillId="0" borderId="15" xfId="0" applyNumberFormat="1" applyFont="1" applyBorder="1" applyAlignment="1">
      <alignment horizontal="right" vertical="center"/>
    </xf>
    <xf numFmtId="0" fontId="17" fillId="0" borderId="16" xfId="0" applyFont="1" applyBorder="1" applyAlignment="1">
      <alignment horizontal="right" vertical="center"/>
    </xf>
    <xf numFmtId="4" fontId="10" fillId="0" borderId="15" xfId="0" applyNumberFormat="1" applyFont="1" applyBorder="1" applyAlignment="1">
      <alignment horizontal="right" vertical="center"/>
    </xf>
    <xf numFmtId="0" fontId="10" fillId="0" borderId="16" xfId="0" applyFont="1" applyBorder="1" applyAlignment="1">
      <alignment horizontal="right" vertical="center"/>
    </xf>
  </cellXfs>
  <cellStyles count="3">
    <cellStyle name="Comma 2"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3"/>
  <sheetViews>
    <sheetView tabSelected="1" view="pageBreakPreview" zoomScale="130" zoomScaleNormal="100" zoomScaleSheetLayoutView="130" zoomScalePageLayoutView="89" workbookViewId="0">
      <selection activeCell="B1638" sqref="B1638"/>
    </sheetView>
  </sheetViews>
  <sheetFormatPr defaultRowHeight="15" x14ac:dyDescent="0.25"/>
  <cols>
    <col min="1" max="1" width="7.85546875" style="42" customWidth="1"/>
    <col min="2" max="2" width="38.7109375" style="79" customWidth="1"/>
    <col min="3" max="3" width="9.140625" style="40"/>
    <col min="4" max="4" width="9.28515625" style="40" customWidth="1"/>
    <col min="5" max="5" width="11.7109375" style="40" customWidth="1"/>
    <col min="6" max="6" width="12.7109375" style="41" customWidth="1"/>
  </cols>
  <sheetData>
    <row r="1" spans="1:6" x14ac:dyDescent="0.25">
      <c r="A1" s="1" t="s">
        <v>0</v>
      </c>
      <c r="B1" s="2" t="s">
        <v>1</v>
      </c>
      <c r="C1" s="3" t="s">
        <v>2</v>
      </c>
      <c r="D1" s="3" t="s">
        <v>3</v>
      </c>
      <c r="E1" s="4" t="s">
        <v>4</v>
      </c>
      <c r="F1" s="5" t="s">
        <v>5</v>
      </c>
    </row>
    <row r="3" spans="1:6" x14ac:dyDescent="0.25">
      <c r="A3" s="6"/>
      <c r="B3" s="7" t="s">
        <v>6</v>
      </c>
      <c r="C3" s="8"/>
      <c r="D3" s="8"/>
      <c r="E3" s="9"/>
      <c r="F3" s="10"/>
    </row>
    <row r="4" spans="1:6" x14ac:dyDescent="0.25">
      <c r="A4" s="6"/>
      <c r="B4" s="11"/>
      <c r="C4" s="8"/>
      <c r="D4" s="8"/>
      <c r="E4" s="9"/>
      <c r="F4" s="10"/>
    </row>
    <row r="5" spans="1:6" x14ac:dyDescent="0.25">
      <c r="A5" s="6"/>
      <c r="B5" s="12" t="s">
        <v>14</v>
      </c>
      <c r="C5" s="8"/>
      <c r="D5" s="8"/>
      <c r="E5" s="9"/>
      <c r="F5" s="10"/>
    </row>
    <row r="6" spans="1:6" x14ac:dyDescent="0.25">
      <c r="A6" s="6"/>
      <c r="B6" s="12"/>
      <c r="C6" s="8"/>
      <c r="D6" s="8"/>
      <c r="E6" s="9"/>
      <c r="F6" s="10"/>
    </row>
    <row r="7" spans="1:6" x14ac:dyDescent="0.25">
      <c r="A7" s="13"/>
      <c r="B7" s="14" t="s">
        <v>15</v>
      </c>
      <c r="C7" s="15"/>
      <c r="D7" s="15"/>
      <c r="E7" s="15"/>
      <c r="F7" s="16"/>
    </row>
    <row r="8" spans="1:6" x14ac:dyDescent="0.25">
      <c r="A8" s="13"/>
      <c r="B8" s="14"/>
      <c r="C8" s="15"/>
      <c r="D8" s="15"/>
      <c r="E8" s="15"/>
      <c r="F8" s="16"/>
    </row>
    <row r="9" spans="1:6" x14ac:dyDescent="0.25">
      <c r="A9" s="13"/>
      <c r="B9" s="14" t="s">
        <v>16</v>
      </c>
      <c r="C9" s="15"/>
      <c r="D9" s="15"/>
      <c r="E9" s="15"/>
      <c r="F9" s="16"/>
    </row>
    <row r="10" spans="1:6" x14ac:dyDescent="0.25">
      <c r="A10" s="13"/>
      <c r="B10" s="17"/>
      <c r="C10" s="15"/>
      <c r="D10" s="15"/>
      <c r="E10" s="15"/>
      <c r="F10" s="16"/>
    </row>
    <row r="11" spans="1:6" ht="39" x14ac:dyDescent="0.25">
      <c r="A11" s="18"/>
      <c r="B11" s="23" t="s">
        <v>17</v>
      </c>
      <c r="C11" s="20"/>
      <c r="D11" s="20"/>
      <c r="E11" s="21"/>
      <c r="F11" s="22"/>
    </row>
    <row r="12" spans="1:6" x14ac:dyDescent="0.25">
      <c r="A12" s="18"/>
      <c r="B12" s="23"/>
      <c r="C12" s="20"/>
      <c r="D12" s="20"/>
      <c r="E12" s="21"/>
      <c r="F12" s="24"/>
    </row>
    <row r="13" spans="1:6" x14ac:dyDescent="0.25">
      <c r="A13" s="18"/>
      <c r="B13" s="23" t="s">
        <v>18</v>
      </c>
      <c r="C13" s="20"/>
      <c r="D13" s="20"/>
      <c r="E13" s="21"/>
      <c r="F13" s="24"/>
    </row>
    <row r="14" spans="1:6" x14ac:dyDescent="0.25">
      <c r="A14" s="18"/>
      <c r="B14" s="25"/>
      <c r="C14" s="20"/>
      <c r="D14" s="20"/>
      <c r="E14" s="21"/>
      <c r="F14" s="24"/>
    </row>
    <row r="15" spans="1:6" ht="26.25" x14ac:dyDescent="0.25">
      <c r="A15" s="18" t="s">
        <v>7</v>
      </c>
      <c r="B15" s="25" t="s">
        <v>19</v>
      </c>
      <c r="C15" s="20">
        <v>186</v>
      </c>
      <c r="D15" s="20" t="s">
        <v>8</v>
      </c>
      <c r="E15" s="21">
        <v>100</v>
      </c>
      <c r="F15" s="24">
        <f>C15*E15</f>
        <v>18600</v>
      </c>
    </row>
    <row r="16" spans="1:6" x14ac:dyDescent="0.25">
      <c r="A16" s="18"/>
      <c r="B16" s="45"/>
      <c r="C16" s="20"/>
      <c r="D16" s="20"/>
      <c r="E16" s="21"/>
      <c r="F16" s="24"/>
    </row>
    <row r="17" spans="1:6" x14ac:dyDescent="0.25">
      <c r="A17" s="18"/>
      <c r="B17" s="23" t="s">
        <v>20</v>
      </c>
      <c r="C17" s="20"/>
      <c r="D17" s="20"/>
      <c r="E17" s="21"/>
      <c r="F17" s="24"/>
    </row>
    <row r="18" spans="1:6" x14ac:dyDescent="0.25">
      <c r="A18" s="18"/>
      <c r="B18" s="23"/>
      <c r="C18" s="20"/>
      <c r="D18" s="20"/>
      <c r="E18" s="21"/>
      <c r="F18" s="24"/>
    </row>
    <row r="19" spans="1:6" ht="26.25" x14ac:dyDescent="0.25">
      <c r="A19" s="18"/>
      <c r="B19" s="119" t="s">
        <v>21</v>
      </c>
      <c r="C19" s="20"/>
      <c r="D19" s="20"/>
      <c r="E19" s="21"/>
      <c r="F19" s="24"/>
    </row>
    <row r="20" spans="1:6" x14ac:dyDescent="0.25">
      <c r="A20" s="18"/>
      <c r="B20" s="23"/>
      <c r="C20" s="20"/>
      <c r="D20" s="20"/>
      <c r="E20" s="21"/>
      <c r="F20" s="24"/>
    </row>
    <row r="21" spans="1:6" x14ac:dyDescent="0.25">
      <c r="A21" s="18"/>
      <c r="B21" s="23" t="s">
        <v>22</v>
      </c>
      <c r="C21" s="20"/>
      <c r="D21" s="20"/>
      <c r="E21" s="21"/>
      <c r="F21" s="24"/>
    </row>
    <row r="22" spans="1:6" x14ac:dyDescent="0.25">
      <c r="A22" s="18"/>
      <c r="B22" s="23"/>
      <c r="C22" s="20"/>
      <c r="D22" s="20"/>
      <c r="E22" s="21"/>
      <c r="F22" s="24"/>
    </row>
    <row r="23" spans="1:6" x14ac:dyDescent="0.25">
      <c r="A23" s="18" t="s">
        <v>9</v>
      </c>
      <c r="B23" s="25" t="s">
        <v>23</v>
      </c>
      <c r="C23" s="20">
        <v>186</v>
      </c>
      <c r="D23" s="20" t="s">
        <v>8</v>
      </c>
      <c r="E23" s="21">
        <v>250</v>
      </c>
      <c r="F23" s="24">
        <f>C23*E23</f>
        <v>46500</v>
      </c>
    </row>
    <row r="24" spans="1:6" x14ac:dyDescent="0.25">
      <c r="A24" s="18"/>
      <c r="B24" s="26"/>
      <c r="C24" s="20"/>
      <c r="D24" s="20"/>
      <c r="E24" s="21"/>
      <c r="F24" s="24"/>
    </row>
    <row r="25" spans="1:6" ht="26.25" x14ac:dyDescent="0.25">
      <c r="A25" s="18"/>
      <c r="B25" s="23" t="s">
        <v>26</v>
      </c>
      <c r="C25" s="20"/>
      <c r="D25" s="20"/>
      <c r="E25" s="21"/>
      <c r="F25" s="24"/>
    </row>
    <row r="26" spans="1:6" x14ac:dyDescent="0.25">
      <c r="A26" s="18"/>
      <c r="B26" s="25"/>
      <c r="C26" s="20"/>
      <c r="D26" s="20"/>
      <c r="E26" s="21"/>
      <c r="F26" s="24"/>
    </row>
    <row r="27" spans="1:6" x14ac:dyDescent="0.25">
      <c r="A27" s="18" t="s">
        <v>10</v>
      </c>
      <c r="B27" s="25" t="s">
        <v>24</v>
      </c>
      <c r="C27" s="20">
        <v>171</v>
      </c>
      <c r="D27" s="20" t="s">
        <v>25</v>
      </c>
      <c r="E27" s="21">
        <v>500</v>
      </c>
      <c r="F27" s="24">
        <f>C27*E27</f>
        <v>85500</v>
      </c>
    </row>
    <row r="28" spans="1:6" x14ac:dyDescent="0.25">
      <c r="A28" s="6"/>
      <c r="B28" s="17"/>
      <c r="C28" s="8"/>
      <c r="D28" s="8"/>
      <c r="E28" s="9"/>
      <c r="F28" s="10"/>
    </row>
    <row r="29" spans="1:6" ht="25.5" x14ac:dyDescent="0.25">
      <c r="A29" s="18" t="s">
        <v>11</v>
      </c>
      <c r="B29" s="27" t="s">
        <v>29</v>
      </c>
      <c r="C29" s="20">
        <v>27</v>
      </c>
      <c r="D29" s="20" t="s">
        <v>25</v>
      </c>
      <c r="E29" s="21">
        <v>550</v>
      </c>
      <c r="F29" s="24">
        <f>C29*E29</f>
        <v>14850</v>
      </c>
    </row>
    <row r="30" spans="1:6" x14ac:dyDescent="0.25">
      <c r="A30" s="18"/>
      <c r="B30" s="27"/>
      <c r="C30" s="20"/>
      <c r="D30" s="20"/>
      <c r="E30" s="21"/>
      <c r="F30" s="24"/>
    </row>
    <row r="31" spans="1:6" x14ac:dyDescent="0.25">
      <c r="A31" s="18" t="s">
        <v>12</v>
      </c>
      <c r="B31" s="120" t="s">
        <v>28</v>
      </c>
      <c r="C31" s="20">
        <v>5</v>
      </c>
      <c r="D31" s="20" t="s">
        <v>25</v>
      </c>
      <c r="E31" s="21">
        <v>800</v>
      </c>
      <c r="F31" s="24">
        <f>C31*E31</f>
        <v>4000</v>
      </c>
    </row>
    <row r="32" spans="1:6" x14ac:dyDescent="0.25">
      <c r="A32" s="18"/>
      <c r="B32" s="28"/>
      <c r="C32" s="20"/>
      <c r="D32" s="20"/>
      <c r="E32" s="21"/>
      <c r="F32" s="24"/>
    </row>
    <row r="33" spans="1:6" x14ac:dyDescent="0.25">
      <c r="A33" s="6"/>
      <c r="B33" s="17"/>
      <c r="C33" s="8"/>
      <c r="D33" s="8"/>
      <c r="E33" s="9"/>
      <c r="F33" s="10"/>
    </row>
    <row r="34" spans="1:6" x14ac:dyDescent="0.25">
      <c r="A34" s="18"/>
      <c r="B34" s="28"/>
      <c r="C34" s="20"/>
      <c r="D34" s="20"/>
      <c r="E34" s="21"/>
      <c r="F34" s="24"/>
    </row>
    <row r="35" spans="1:6" x14ac:dyDescent="0.25">
      <c r="A35" s="18"/>
      <c r="B35" s="28"/>
      <c r="C35" s="20"/>
      <c r="D35" s="20"/>
      <c r="E35" s="21"/>
      <c r="F35" s="24"/>
    </row>
    <row r="36" spans="1:6" x14ac:dyDescent="0.25">
      <c r="A36" s="18"/>
      <c r="B36" s="28"/>
      <c r="C36" s="20"/>
      <c r="D36" s="20"/>
      <c r="E36" s="21"/>
      <c r="F36" s="24"/>
    </row>
    <row r="37" spans="1:6" x14ac:dyDescent="0.25">
      <c r="A37" s="18"/>
      <c r="B37" s="28"/>
      <c r="C37" s="20"/>
      <c r="D37" s="20"/>
      <c r="E37" s="21"/>
      <c r="F37" s="24"/>
    </row>
    <row r="38" spans="1:6" x14ac:dyDescent="0.25">
      <c r="A38" s="18"/>
      <c r="B38" s="28"/>
      <c r="C38" s="20"/>
      <c r="D38" s="20"/>
      <c r="E38" s="21"/>
      <c r="F38" s="24"/>
    </row>
    <row r="39" spans="1:6" x14ac:dyDescent="0.25">
      <c r="A39" s="18"/>
      <c r="B39" s="28"/>
      <c r="C39" s="20"/>
      <c r="D39" s="20"/>
      <c r="E39" s="21"/>
      <c r="F39" s="24"/>
    </row>
    <row r="40" spans="1:6" x14ac:dyDescent="0.25">
      <c r="A40" s="6"/>
      <c r="B40" s="29"/>
      <c r="C40" s="8"/>
      <c r="D40" s="8"/>
      <c r="E40" s="9"/>
      <c r="F40" s="10"/>
    </row>
    <row r="41" spans="1:6" x14ac:dyDescent="0.25">
      <c r="A41" s="6"/>
      <c r="B41" s="29"/>
      <c r="C41" s="8"/>
      <c r="D41" s="8"/>
      <c r="E41" s="9"/>
      <c r="F41" s="10"/>
    </row>
    <row r="42" spans="1:6" ht="15.75" thickBot="1" x14ac:dyDescent="0.3">
      <c r="A42" s="30"/>
      <c r="B42" s="101" t="s">
        <v>56</v>
      </c>
      <c r="C42" s="32"/>
      <c r="D42" s="32"/>
      <c r="E42" s="33"/>
      <c r="F42" s="34">
        <f>SUM(F15:F31)</f>
        <v>169450</v>
      </c>
    </row>
    <row r="43" spans="1:6" x14ac:dyDescent="0.25">
      <c r="A43" s="1" t="s">
        <v>0</v>
      </c>
      <c r="B43" s="2" t="s">
        <v>1</v>
      </c>
      <c r="C43" s="3" t="s">
        <v>2</v>
      </c>
      <c r="D43" s="3" t="s">
        <v>3</v>
      </c>
      <c r="E43" s="4" t="s">
        <v>4</v>
      </c>
      <c r="F43" s="5" t="s">
        <v>5</v>
      </c>
    </row>
    <row r="44" spans="1:6" x14ac:dyDescent="0.25">
      <c r="A44" s="35"/>
      <c r="B44" s="36"/>
      <c r="C44" s="37"/>
      <c r="D44" s="37"/>
      <c r="E44" s="38"/>
      <c r="F44" s="39"/>
    </row>
    <row r="45" spans="1:6" x14ac:dyDescent="0.25">
      <c r="A45" s="18"/>
      <c r="B45" s="45" t="s">
        <v>30</v>
      </c>
      <c r="C45" s="20"/>
      <c r="D45" s="20"/>
      <c r="E45" s="21"/>
      <c r="F45" s="24"/>
    </row>
    <row r="46" spans="1:6" x14ac:dyDescent="0.25">
      <c r="A46" s="18"/>
      <c r="B46" s="43"/>
      <c r="C46" s="20"/>
      <c r="D46" s="20"/>
      <c r="E46" s="21"/>
      <c r="F46" s="24"/>
    </row>
    <row r="47" spans="1:6" ht="63.75" x14ac:dyDescent="0.25">
      <c r="A47" s="18" t="s">
        <v>7</v>
      </c>
      <c r="B47" s="44" t="s">
        <v>31</v>
      </c>
      <c r="C47" s="20">
        <v>5</v>
      </c>
      <c r="D47" s="20" t="s">
        <v>25</v>
      </c>
      <c r="E47" s="21">
        <v>200</v>
      </c>
      <c r="F47" s="24">
        <f>C47*E47</f>
        <v>1000</v>
      </c>
    </row>
    <row r="48" spans="1:6" x14ac:dyDescent="0.25">
      <c r="A48" s="18"/>
      <c r="B48" s="25"/>
      <c r="C48" s="20"/>
      <c r="D48" s="20"/>
      <c r="E48" s="21"/>
      <c r="F48" s="24"/>
    </row>
    <row r="49" spans="1:6" x14ac:dyDescent="0.25">
      <c r="A49" s="18"/>
      <c r="B49" s="45" t="s">
        <v>32</v>
      </c>
      <c r="C49" s="20"/>
      <c r="D49" s="20"/>
      <c r="E49" s="21"/>
      <c r="F49" s="24"/>
    </row>
    <row r="50" spans="1:6" x14ac:dyDescent="0.25">
      <c r="A50" s="18"/>
      <c r="B50" s="44"/>
      <c r="C50" s="20"/>
      <c r="D50" s="20"/>
      <c r="E50" s="21"/>
      <c r="F50" s="24"/>
    </row>
    <row r="51" spans="1:6" ht="25.5" x14ac:dyDescent="0.25">
      <c r="A51" s="18" t="s">
        <v>9</v>
      </c>
      <c r="B51" s="44" t="s">
        <v>33</v>
      </c>
      <c r="C51" s="20">
        <v>166</v>
      </c>
      <c r="D51" s="20" t="s">
        <v>25</v>
      </c>
      <c r="E51" s="21">
        <v>350</v>
      </c>
      <c r="F51" s="24">
        <f>C51*E51</f>
        <v>58100</v>
      </c>
    </row>
    <row r="52" spans="1:6" x14ac:dyDescent="0.25">
      <c r="A52" s="18"/>
      <c r="B52" s="44"/>
      <c r="C52" s="20"/>
      <c r="D52" s="20"/>
      <c r="E52" s="21"/>
      <c r="F52" s="24"/>
    </row>
    <row r="53" spans="1:6" x14ac:dyDescent="0.25">
      <c r="A53" s="18"/>
      <c r="B53" s="23" t="s">
        <v>34</v>
      </c>
      <c r="C53" s="20"/>
      <c r="D53" s="20"/>
      <c r="E53" s="21"/>
      <c r="F53" s="24"/>
    </row>
    <row r="54" spans="1:6" ht="12" customHeight="1" x14ac:dyDescent="0.25">
      <c r="A54" s="18"/>
      <c r="B54" s="25"/>
      <c r="C54" s="20"/>
      <c r="D54" s="20"/>
      <c r="E54" s="21"/>
      <c r="F54" s="24"/>
    </row>
    <row r="55" spans="1:6" ht="51.75" x14ac:dyDescent="0.25">
      <c r="A55" s="18" t="s">
        <v>10</v>
      </c>
      <c r="B55" s="121" t="s">
        <v>35</v>
      </c>
      <c r="C55" s="20"/>
      <c r="D55" s="20" t="s">
        <v>36</v>
      </c>
      <c r="E55" s="21">
        <v>25000</v>
      </c>
      <c r="F55" s="24">
        <f>E55</f>
        <v>25000</v>
      </c>
    </row>
    <row r="56" spans="1:6" x14ac:dyDescent="0.25">
      <c r="A56" s="18"/>
      <c r="B56" s="44"/>
      <c r="C56" s="20"/>
      <c r="D56" s="20"/>
      <c r="E56" s="21"/>
      <c r="F56" s="24"/>
    </row>
    <row r="57" spans="1:6" x14ac:dyDescent="0.25">
      <c r="A57" s="18"/>
      <c r="B57" s="23" t="s">
        <v>37</v>
      </c>
      <c r="C57" s="20"/>
      <c r="D57" s="20"/>
      <c r="E57" s="21"/>
      <c r="F57" s="24"/>
    </row>
    <row r="58" spans="1:6" x14ac:dyDescent="0.25">
      <c r="A58" s="18"/>
      <c r="B58" s="25"/>
      <c r="C58" s="20"/>
      <c r="D58" s="20"/>
      <c r="E58" s="21"/>
      <c r="F58" s="24"/>
    </row>
    <row r="59" spans="1:6" ht="39" x14ac:dyDescent="0.25">
      <c r="A59" s="18" t="s">
        <v>11</v>
      </c>
      <c r="B59" s="25" t="s">
        <v>38</v>
      </c>
      <c r="C59" s="20"/>
      <c r="D59" s="20" t="s">
        <v>36</v>
      </c>
      <c r="E59" s="21">
        <v>25000</v>
      </c>
      <c r="F59" s="24">
        <f>E59</f>
        <v>25000</v>
      </c>
    </row>
    <row r="60" spans="1:6" x14ac:dyDescent="0.25">
      <c r="A60" s="18"/>
      <c r="B60" s="44"/>
      <c r="C60" s="20"/>
      <c r="D60" s="20"/>
      <c r="E60" s="21"/>
      <c r="F60" s="24"/>
    </row>
    <row r="61" spans="1:6" x14ac:dyDescent="0.25">
      <c r="A61" s="72"/>
      <c r="B61" s="23" t="s">
        <v>39</v>
      </c>
      <c r="C61" s="20"/>
      <c r="D61" s="20"/>
      <c r="E61" s="21"/>
      <c r="F61" s="24"/>
    </row>
    <row r="62" spans="1:6" x14ac:dyDescent="0.25">
      <c r="A62" s="72"/>
      <c r="B62" s="25"/>
      <c r="C62" s="20"/>
      <c r="D62" s="20"/>
      <c r="E62" s="21"/>
      <c r="F62" s="24"/>
    </row>
    <row r="63" spans="1:6" x14ac:dyDescent="0.25">
      <c r="A63" s="72"/>
      <c r="B63" s="23" t="s">
        <v>40</v>
      </c>
      <c r="C63" s="20"/>
      <c r="D63" s="20"/>
      <c r="E63" s="21"/>
      <c r="F63" s="24"/>
    </row>
    <row r="64" spans="1:6" x14ac:dyDescent="0.25">
      <c r="A64" s="72"/>
      <c r="B64" s="25"/>
      <c r="C64" s="20"/>
      <c r="D64" s="20"/>
      <c r="E64" s="21"/>
      <c r="F64" s="24"/>
    </row>
    <row r="65" spans="1:6" ht="26.25" x14ac:dyDescent="0.25">
      <c r="A65" s="18" t="s">
        <v>12</v>
      </c>
      <c r="B65" s="25" t="s">
        <v>57</v>
      </c>
      <c r="C65" s="20">
        <v>155</v>
      </c>
      <c r="D65" s="20" t="s">
        <v>8</v>
      </c>
      <c r="E65" s="21">
        <v>650</v>
      </c>
      <c r="F65" s="24">
        <f>C65*E65</f>
        <v>100750</v>
      </c>
    </row>
    <row r="66" spans="1:6" x14ac:dyDescent="0.25">
      <c r="A66" s="18"/>
      <c r="B66" s="25"/>
      <c r="C66" s="20"/>
      <c r="D66" s="20"/>
      <c r="E66" s="21"/>
      <c r="F66" s="24"/>
    </row>
    <row r="67" spans="1:6" x14ac:dyDescent="0.25">
      <c r="A67" s="18"/>
      <c r="B67" s="23" t="s">
        <v>41</v>
      </c>
      <c r="C67" s="20"/>
      <c r="D67" s="20"/>
      <c r="E67" s="21"/>
      <c r="F67" s="24"/>
    </row>
    <row r="68" spans="1:6" x14ac:dyDescent="0.25">
      <c r="A68" s="18"/>
      <c r="B68" s="25"/>
      <c r="C68" s="20"/>
      <c r="D68" s="20"/>
      <c r="E68" s="21"/>
      <c r="F68" s="24"/>
    </row>
    <row r="69" spans="1:6" ht="26.25" x14ac:dyDescent="0.25">
      <c r="A69" s="18" t="s">
        <v>27</v>
      </c>
      <c r="B69" s="25" t="s">
        <v>42</v>
      </c>
      <c r="C69" s="20">
        <v>155</v>
      </c>
      <c r="D69" s="20" t="s">
        <v>8</v>
      </c>
      <c r="E69" s="21">
        <v>150</v>
      </c>
      <c r="F69" s="24">
        <f>C69*E69</f>
        <v>23250</v>
      </c>
    </row>
    <row r="70" spans="1:6" x14ac:dyDescent="0.25">
      <c r="A70" s="18"/>
      <c r="B70" s="26"/>
      <c r="C70" s="20"/>
      <c r="D70" s="20"/>
      <c r="E70" s="21"/>
      <c r="F70" s="24"/>
    </row>
    <row r="71" spans="1:6" x14ac:dyDescent="0.25">
      <c r="A71" s="18"/>
      <c r="B71" s="27"/>
      <c r="C71" s="20"/>
      <c r="D71" s="20"/>
      <c r="E71" s="21"/>
      <c r="F71" s="24"/>
    </row>
    <row r="72" spans="1:6" x14ac:dyDescent="0.25">
      <c r="A72" s="18"/>
      <c r="B72" s="27"/>
      <c r="C72" s="20"/>
      <c r="D72" s="20"/>
      <c r="E72" s="21"/>
      <c r="F72" s="24"/>
    </row>
    <row r="73" spans="1:6" x14ac:dyDescent="0.25">
      <c r="A73" s="18"/>
      <c r="B73" s="27"/>
      <c r="C73" s="20"/>
      <c r="D73" s="20"/>
      <c r="E73" s="21"/>
      <c r="F73" s="24"/>
    </row>
    <row r="74" spans="1:6" x14ac:dyDescent="0.25">
      <c r="A74" s="18"/>
      <c r="B74" s="27"/>
      <c r="C74" s="20"/>
      <c r="D74" s="20"/>
      <c r="E74" s="21"/>
      <c r="F74" s="24"/>
    </row>
    <row r="75" spans="1:6" x14ac:dyDescent="0.25">
      <c r="A75" s="18"/>
      <c r="B75" s="27"/>
      <c r="C75" s="20"/>
      <c r="D75" s="20"/>
      <c r="E75" s="21"/>
      <c r="F75" s="24"/>
    </row>
    <row r="80" spans="1:6" ht="15.75" thickBot="1" x14ac:dyDescent="0.3">
      <c r="A80" s="30"/>
      <c r="B80" s="101" t="s">
        <v>56</v>
      </c>
      <c r="C80" s="32"/>
      <c r="D80" s="32"/>
      <c r="E80" s="33"/>
      <c r="F80" s="34">
        <f>SUM(F47:F69)</f>
        <v>233100</v>
      </c>
    </row>
    <row r="81" spans="1:6" x14ac:dyDescent="0.25">
      <c r="A81" s="1" t="s">
        <v>0</v>
      </c>
      <c r="B81" s="2" t="s">
        <v>1</v>
      </c>
      <c r="C81" s="3" t="s">
        <v>2</v>
      </c>
      <c r="D81" s="3" t="s">
        <v>3</v>
      </c>
      <c r="E81" s="4" t="s">
        <v>4</v>
      </c>
      <c r="F81" s="5" t="s">
        <v>5</v>
      </c>
    </row>
    <row r="82" spans="1:6" x14ac:dyDescent="0.25">
      <c r="A82" s="6"/>
      <c r="B82" s="11"/>
      <c r="C82" s="8"/>
      <c r="D82" s="8"/>
      <c r="E82" s="9"/>
      <c r="F82" s="47"/>
    </row>
    <row r="83" spans="1:6" x14ac:dyDescent="0.25">
      <c r="A83" s="18"/>
      <c r="B83" s="23" t="s">
        <v>43</v>
      </c>
      <c r="C83" s="20"/>
      <c r="D83" s="20"/>
      <c r="E83" s="21"/>
      <c r="F83" s="24"/>
    </row>
    <row r="84" spans="1:6" x14ac:dyDescent="0.25">
      <c r="A84" s="18"/>
      <c r="B84" s="25"/>
      <c r="C84" s="20"/>
      <c r="D84" s="20"/>
      <c r="E84" s="21"/>
      <c r="F84" s="24"/>
    </row>
    <row r="85" spans="1:6" ht="26.25" x14ac:dyDescent="0.25">
      <c r="A85" s="18"/>
      <c r="B85" s="23" t="s">
        <v>44</v>
      </c>
      <c r="C85" s="20"/>
      <c r="D85" s="20"/>
      <c r="E85" s="21"/>
      <c r="F85" s="24"/>
    </row>
    <row r="86" spans="1:6" x14ac:dyDescent="0.25">
      <c r="A86" s="18"/>
      <c r="B86" s="25"/>
      <c r="C86" s="20"/>
      <c r="D86" s="20"/>
      <c r="E86" s="21"/>
      <c r="F86" s="24"/>
    </row>
    <row r="87" spans="1:6" ht="26.25" x14ac:dyDescent="0.25">
      <c r="A87" s="18" t="s">
        <v>7</v>
      </c>
      <c r="B87" s="25" t="s">
        <v>45</v>
      </c>
      <c r="C87" s="20">
        <v>155</v>
      </c>
      <c r="D87" s="20" t="s">
        <v>8</v>
      </c>
      <c r="E87" s="21">
        <v>250</v>
      </c>
      <c r="F87" s="24">
        <f>C87*E87</f>
        <v>38750</v>
      </c>
    </row>
    <row r="88" spans="1:6" x14ac:dyDescent="0.25">
      <c r="A88" s="6"/>
      <c r="B88" s="48"/>
      <c r="C88" s="49"/>
      <c r="D88" s="8"/>
      <c r="E88" s="9"/>
      <c r="F88" s="47"/>
    </row>
    <row r="89" spans="1:6" ht="77.25" x14ac:dyDescent="0.25">
      <c r="A89" s="18"/>
      <c r="B89" s="23" t="s">
        <v>69</v>
      </c>
      <c r="C89" s="20"/>
      <c r="D89" s="20"/>
      <c r="E89" s="21"/>
      <c r="F89" s="24"/>
    </row>
    <row r="90" spans="1:6" x14ac:dyDescent="0.25">
      <c r="A90" s="18"/>
      <c r="B90" s="23"/>
      <c r="C90" s="20"/>
      <c r="D90" s="20"/>
      <c r="E90" s="21"/>
      <c r="F90" s="24"/>
    </row>
    <row r="91" spans="1:6" x14ac:dyDescent="0.25">
      <c r="A91" s="18" t="s">
        <v>9</v>
      </c>
      <c r="B91" s="25" t="s">
        <v>46</v>
      </c>
      <c r="C91" s="20">
        <v>155</v>
      </c>
      <c r="D91" s="20" t="s">
        <v>8</v>
      </c>
      <c r="E91" s="21">
        <v>3250</v>
      </c>
      <c r="F91" s="24">
        <f>C91*E91</f>
        <v>503750</v>
      </c>
    </row>
    <row r="92" spans="1:6" x14ac:dyDescent="0.25">
      <c r="A92" s="18"/>
      <c r="B92" s="25"/>
      <c r="C92" s="20"/>
      <c r="D92" s="20"/>
      <c r="E92" s="21"/>
      <c r="F92" s="24"/>
    </row>
    <row r="93" spans="1:6" x14ac:dyDescent="0.25">
      <c r="A93" s="18" t="s">
        <v>10</v>
      </c>
      <c r="B93" s="25" t="s">
        <v>47</v>
      </c>
      <c r="C93" s="20">
        <v>81</v>
      </c>
      <c r="D93" s="20" t="s">
        <v>8</v>
      </c>
      <c r="E93" s="21">
        <f>0.25*E95</f>
        <v>3250</v>
      </c>
      <c r="F93" s="24">
        <f>C93*E93</f>
        <v>263250</v>
      </c>
    </row>
    <row r="94" spans="1:6" x14ac:dyDescent="0.25">
      <c r="A94" s="18"/>
      <c r="B94" s="25"/>
      <c r="C94" s="20"/>
      <c r="D94" s="20"/>
      <c r="E94" s="21"/>
      <c r="F94" s="24"/>
    </row>
    <row r="95" spans="1:6" x14ac:dyDescent="0.25">
      <c r="A95" s="18" t="s">
        <v>11</v>
      </c>
      <c r="B95" s="25" t="s">
        <v>62</v>
      </c>
      <c r="C95" s="20">
        <v>13</v>
      </c>
      <c r="D95" s="20" t="s">
        <v>25</v>
      </c>
      <c r="E95" s="21">
        <v>13000</v>
      </c>
      <c r="F95" s="24">
        <f>E95*C95</f>
        <v>169000</v>
      </c>
    </row>
    <row r="96" spans="1:6" x14ac:dyDescent="0.25">
      <c r="A96" s="6"/>
      <c r="B96" s="48"/>
      <c r="C96" s="49"/>
      <c r="D96" s="8"/>
      <c r="E96" s="9"/>
      <c r="F96" s="47"/>
    </row>
    <row r="97" spans="1:6" x14ac:dyDescent="0.25">
      <c r="A97" s="6" t="s">
        <v>12</v>
      </c>
      <c r="B97" s="122" t="s">
        <v>63</v>
      </c>
      <c r="C97" s="8">
        <v>3</v>
      </c>
      <c r="D97" s="8" t="s">
        <v>25</v>
      </c>
      <c r="E97" s="9">
        <v>13000</v>
      </c>
      <c r="F97" s="10">
        <f>C97*E97</f>
        <v>39000</v>
      </c>
    </row>
    <row r="98" spans="1:6" x14ac:dyDescent="0.25">
      <c r="A98" s="6"/>
      <c r="B98" s="48"/>
      <c r="C98" s="49"/>
      <c r="D98" s="8"/>
      <c r="E98" s="9"/>
      <c r="F98" s="47"/>
    </row>
    <row r="99" spans="1:6" x14ac:dyDescent="0.25">
      <c r="A99" s="18"/>
      <c r="B99" s="23" t="s">
        <v>48</v>
      </c>
      <c r="C99" s="20"/>
      <c r="D99" s="20"/>
      <c r="E99" s="21"/>
      <c r="F99" s="24"/>
    </row>
    <row r="100" spans="1:6" x14ac:dyDescent="0.25">
      <c r="A100" s="18"/>
      <c r="B100" s="23"/>
      <c r="C100" s="20"/>
      <c r="D100" s="20"/>
      <c r="E100" s="21"/>
      <c r="F100" s="24"/>
    </row>
    <row r="101" spans="1:6" ht="77.25" x14ac:dyDescent="0.25">
      <c r="A101" s="18"/>
      <c r="B101" s="19" t="s">
        <v>49</v>
      </c>
      <c r="C101" s="20"/>
      <c r="D101" s="20"/>
      <c r="E101" s="21"/>
      <c r="F101" s="24"/>
    </row>
    <row r="102" spans="1:6" x14ac:dyDescent="0.25">
      <c r="A102" s="18"/>
      <c r="B102" s="25"/>
      <c r="C102" s="20"/>
      <c r="D102" s="20"/>
      <c r="E102" s="21"/>
      <c r="F102" s="24"/>
    </row>
    <row r="103" spans="1:6" x14ac:dyDescent="0.25">
      <c r="A103" s="18"/>
      <c r="B103" s="23" t="s">
        <v>53</v>
      </c>
      <c r="C103" s="20"/>
      <c r="D103" s="20"/>
      <c r="E103" s="21"/>
      <c r="F103" s="24"/>
    </row>
    <row r="104" spans="1:6" x14ac:dyDescent="0.25">
      <c r="A104" s="18"/>
      <c r="B104" s="23"/>
      <c r="C104" s="20"/>
      <c r="D104" s="20"/>
      <c r="E104" s="21"/>
      <c r="F104" s="24"/>
    </row>
    <row r="105" spans="1:6" x14ac:dyDescent="0.25">
      <c r="A105" s="18" t="s">
        <v>27</v>
      </c>
      <c r="B105" s="25" t="s">
        <v>50</v>
      </c>
      <c r="C105" s="20">
        <v>1924</v>
      </c>
      <c r="D105" s="20" t="s">
        <v>51</v>
      </c>
      <c r="E105" s="21">
        <v>180</v>
      </c>
      <c r="F105" s="24">
        <f>C105*E105</f>
        <v>346320</v>
      </c>
    </row>
    <row r="106" spans="1:6" x14ac:dyDescent="0.25">
      <c r="A106" s="18"/>
      <c r="B106" s="23"/>
      <c r="C106" s="20"/>
      <c r="D106" s="20"/>
      <c r="E106" s="21"/>
      <c r="F106" s="24"/>
    </row>
    <row r="107" spans="1:6" x14ac:dyDescent="0.25">
      <c r="A107" s="18"/>
      <c r="B107" s="23" t="s">
        <v>54</v>
      </c>
      <c r="C107" s="20"/>
      <c r="D107" s="20"/>
      <c r="E107" s="21"/>
      <c r="F107" s="24"/>
    </row>
    <row r="108" spans="1:6" x14ac:dyDescent="0.25">
      <c r="A108" s="18"/>
      <c r="B108" s="23"/>
      <c r="C108" s="20"/>
      <c r="D108" s="20"/>
      <c r="E108" s="21"/>
      <c r="F108" s="24"/>
    </row>
    <row r="109" spans="1:6" x14ac:dyDescent="0.25">
      <c r="A109" s="18" t="s">
        <v>61</v>
      </c>
      <c r="B109" s="25" t="s">
        <v>55</v>
      </c>
      <c r="C109" s="20">
        <v>781</v>
      </c>
      <c r="D109" s="20" t="s">
        <v>51</v>
      </c>
      <c r="E109" s="21">
        <v>180</v>
      </c>
      <c r="F109" s="24">
        <f t="shared" ref="F109" si="0">C109*E109</f>
        <v>140580</v>
      </c>
    </row>
    <row r="110" spans="1:6" x14ac:dyDescent="0.25">
      <c r="A110" s="6"/>
      <c r="B110" s="48"/>
      <c r="C110" s="49"/>
      <c r="D110" s="8"/>
      <c r="E110" s="9"/>
      <c r="F110" s="47"/>
    </row>
    <row r="111" spans="1:6" x14ac:dyDescent="0.25">
      <c r="A111" s="6" t="s">
        <v>64</v>
      </c>
      <c r="B111" s="122" t="s">
        <v>52</v>
      </c>
      <c r="C111" s="8">
        <v>957</v>
      </c>
      <c r="D111" s="8" t="s">
        <v>51</v>
      </c>
      <c r="E111" s="9">
        <v>180</v>
      </c>
      <c r="F111" s="10">
        <f>C111*E111</f>
        <v>172260</v>
      </c>
    </row>
    <row r="112" spans="1:6" x14ac:dyDescent="0.25">
      <c r="A112" s="6"/>
      <c r="B112" s="48"/>
      <c r="C112" s="49"/>
      <c r="D112" s="8"/>
      <c r="E112" s="9"/>
      <c r="F112" s="47"/>
    </row>
    <row r="113" spans="1:6" x14ac:dyDescent="0.25">
      <c r="A113" s="6"/>
      <c r="B113" s="48"/>
      <c r="C113" s="49"/>
      <c r="D113" s="8"/>
      <c r="E113" s="9"/>
      <c r="F113" s="47"/>
    </row>
    <row r="114" spans="1:6" x14ac:dyDescent="0.25">
      <c r="A114" s="6"/>
      <c r="B114" s="48"/>
      <c r="C114" s="49"/>
      <c r="D114" s="8"/>
      <c r="E114" s="9"/>
      <c r="F114" s="47"/>
    </row>
    <row r="115" spans="1:6" x14ac:dyDescent="0.25">
      <c r="A115" s="6"/>
      <c r="B115" s="48"/>
      <c r="C115" s="49"/>
      <c r="D115" s="8"/>
      <c r="E115" s="9"/>
      <c r="F115" s="47"/>
    </row>
    <row r="116" spans="1:6" x14ac:dyDescent="0.25">
      <c r="A116" s="6"/>
      <c r="B116" s="48"/>
      <c r="C116" s="49"/>
      <c r="D116" s="8"/>
      <c r="E116" s="9"/>
      <c r="F116" s="47"/>
    </row>
    <row r="117" spans="1:6" ht="15.75" thickBot="1" x14ac:dyDescent="0.3">
      <c r="A117" s="30"/>
      <c r="B117" s="101" t="s">
        <v>56</v>
      </c>
      <c r="C117" s="32"/>
      <c r="D117" s="32"/>
      <c r="E117" s="33"/>
      <c r="F117" s="124">
        <f>SUM(F87:F111)</f>
        <v>1672910</v>
      </c>
    </row>
    <row r="118" spans="1:6" x14ac:dyDescent="0.25">
      <c r="A118" s="1" t="s">
        <v>0</v>
      </c>
      <c r="B118" s="2" t="s">
        <v>1</v>
      </c>
      <c r="C118" s="3" t="s">
        <v>2</v>
      </c>
      <c r="D118" s="3" t="s">
        <v>3</v>
      </c>
      <c r="E118" s="4" t="s">
        <v>4</v>
      </c>
      <c r="F118" s="5" t="s">
        <v>5</v>
      </c>
    </row>
    <row r="119" spans="1:6" x14ac:dyDescent="0.25">
      <c r="A119" s="6"/>
      <c r="B119" s="48"/>
      <c r="C119" s="49"/>
      <c r="D119" s="8"/>
      <c r="E119" s="9"/>
      <c r="F119" s="47"/>
    </row>
    <row r="120" spans="1:6" ht="39" x14ac:dyDescent="0.25">
      <c r="A120" s="18"/>
      <c r="B120" s="23" t="s">
        <v>131</v>
      </c>
      <c r="C120" s="20"/>
      <c r="D120" s="20"/>
      <c r="E120" s="21"/>
      <c r="F120" s="24"/>
    </row>
    <row r="121" spans="1:6" x14ac:dyDescent="0.25">
      <c r="A121" s="18"/>
      <c r="B121" s="119"/>
      <c r="C121" s="20"/>
      <c r="D121" s="20"/>
      <c r="E121" s="21"/>
      <c r="F121" s="24"/>
    </row>
    <row r="122" spans="1:6" ht="115.5" x14ac:dyDescent="0.25">
      <c r="A122" s="18"/>
      <c r="B122" s="19" t="s">
        <v>65</v>
      </c>
      <c r="C122" s="20"/>
      <c r="D122" s="20"/>
      <c r="E122" s="21"/>
      <c r="F122" s="24"/>
    </row>
    <row r="123" spans="1:6" x14ac:dyDescent="0.25">
      <c r="A123" s="18"/>
      <c r="B123" s="19"/>
      <c r="C123" s="20"/>
      <c r="D123" s="20"/>
      <c r="E123" s="21"/>
      <c r="F123" s="24"/>
    </row>
    <row r="124" spans="1:6" x14ac:dyDescent="0.25">
      <c r="A124" s="18" t="s">
        <v>7</v>
      </c>
      <c r="B124" s="25" t="s">
        <v>66</v>
      </c>
      <c r="C124" s="20">
        <v>162</v>
      </c>
      <c r="D124" s="20" t="s">
        <v>8</v>
      </c>
      <c r="E124" s="21">
        <v>1353</v>
      </c>
      <c r="F124" s="24">
        <f>C124*E124</f>
        <v>219186</v>
      </c>
    </row>
    <row r="125" spans="1:6" x14ac:dyDescent="0.25">
      <c r="A125" s="18"/>
      <c r="B125" s="25"/>
      <c r="C125" s="20"/>
      <c r="D125" s="20"/>
      <c r="E125" s="21"/>
      <c r="F125" s="24"/>
    </row>
    <row r="126" spans="1:6" x14ac:dyDescent="0.25">
      <c r="A126" s="18" t="s">
        <v>9</v>
      </c>
      <c r="B126" s="25" t="s">
        <v>67</v>
      </c>
      <c r="C126" s="20">
        <v>71</v>
      </c>
      <c r="D126" s="20" t="s">
        <v>68</v>
      </c>
      <c r="E126" s="21">
        <v>205</v>
      </c>
      <c r="F126" s="24">
        <f>C126*E126</f>
        <v>14555</v>
      </c>
    </row>
    <row r="127" spans="1:6" x14ac:dyDescent="0.25">
      <c r="A127" s="18"/>
      <c r="B127" s="25"/>
      <c r="C127" s="20"/>
      <c r="D127" s="20"/>
      <c r="E127" s="21"/>
      <c r="F127" s="24"/>
    </row>
    <row r="128" spans="1:6" x14ac:dyDescent="0.25">
      <c r="A128" s="6"/>
      <c r="B128" s="125"/>
      <c r="C128" s="49"/>
      <c r="D128" s="8"/>
      <c r="E128" s="9"/>
      <c r="F128" s="47"/>
    </row>
    <row r="129" spans="1:6" x14ac:dyDescent="0.25">
      <c r="A129" s="6"/>
      <c r="B129" s="48"/>
      <c r="C129" s="49"/>
      <c r="D129" s="8"/>
      <c r="E129" s="9"/>
      <c r="F129" s="47"/>
    </row>
    <row r="130" spans="1:6" x14ac:dyDescent="0.25">
      <c r="A130" s="6"/>
      <c r="B130" s="48"/>
      <c r="C130" s="49"/>
      <c r="D130" s="8"/>
      <c r="E130" s="9"/>
      <c r="F130" s="47"/>
    </row>
    <row r="131" spans="1:6" x14ac:dyDescent="0.25">
      <c r="A131" s="6"/>
      <c r="B131" s="48"/>
      <c r="C131" s="49"/>
      <c r="D131" s="8"/>
      <c r="E131" s="9"/>
      <c r="F131" s="47"/>
    </row>
    <row r="132" spans="1:6" x14ac:dyDescent="0.25">
      <c r="A132" s="6"/>
      <c r="B132" s="48"/>
      <c r="C132" s="49"/>
      <c r="D132" s="8"/>
      <c r="E132" s="9"/>
      <c r="F132" s="47"/>
    </row>
    <row r="133" spans="1:6" x14ac:dyDescent="0.25">
      <c r="A133" s="6"/>
      <c r="B133" s="48"/>
      <c r="C133" s="49"/>
      <c r="D133" s="8"/>
      <c r="E133" s="9"/>
      <c r="F133" s="47"/>
    </row>
    <row r="134" spans="1:6" x14ac:dyDescent="0.25">
      <c r="A134" s="6"/>
      <c r="B134" s="48"/>
      <c r="C134" s="49"/>
      <c r="D134" s="8"/>
      <c r="E134" s="9"/>
      <c r="F134" s="47"/>
    </row>
    <row r="135" spans="1:6" x14ac:dyDescent="0.25">
      <c r="A135" s="6"/>
      <c r="B135" s="48"/>
      <c r="C135" s="49"/>
      <c r="D135" s="8"/>
      <c r="E135" s="9"/>
      <c r="F135" s="47"/>
    </row>
    <row r="136" spans="1:6" x14ac:dyDescent="0.25">
      <c r="A136" s="6"/>
      <c r="B136" s="48"/>
      <c r="C136" s="49"/>
      <c r="D136" s="8"/>
      <c r="E136" s="9"/>
      <c r="F136" s="47"/>
    </row>
    <row r="137" spans="1:6" x14ac:dyDescent="0.25">
      <c r="A137" s="6"/>
      <c r="B137" s="48"/>
      <c r="C137" s="49"/>
      <c r="D137" s="8"/>
      <c r="E137" s="9"/>
      <c r="F137" s="47"/>
    </row>
    <row r="138" spans="1:6" x14ac:dyDescent="0.25">
      <c r="A138" s="6"/>
      <c r="B138" s="48"/>
      <c r="C138" s="49"/>
      <c r="D138" s="8"/>
      <c r="E138" s="9"/>
      <c r="F138" s="47"/>
    </row>
    <row r="139" spans="1:6" x14ac:dyDescent="0.25">
      <c r="A139" s="6"/>
      <c r="B139" s="48"/>
      <c r="C139" s="49"/>
      <c r="D139" s="8"/>
      <c r="E139" s="9"/>
      <c r="F139" s="47"/>
    </row>
    <row r="140" spans="1:6" x14ac:dyDescent="0.25">
      <c r="A140" s="6"/>
      <c r="B140" s="48"/>
      <c r="C140" s="49"/>
      <c r="D140" s="8"/>
      <c r="E140" s="9"/>
      <c r="F140" s="47"/>
    </row>
    <row r="141" spans="1:6" x14ac:dyDescent="0.25">
      <c r="A141" s="6"/>
      <c r="B141" s="48"/>
      <c r="C141" s="49"/>
      <c r="D141" s="8"/>
      <c r="E141" s="9"/>
      <c r="F141" s="47"/>
    </row>
    <row r="142" spans="1:6" x14ac:dyDescent="0.25">
      <c r="A142" s="6"/>
      <c r="B142" s="48"/>
      <c r="C142" s="49"/>
      <c r="D142" s="8"/>
      <c r="E142" s="9"/>
      <c r="F142" s="47"/>
    </row>
    <row r="143" spans="1:6" x14ac:dyDescent="0.25">
      <c r="A143" s="6"/>
      <c r="B143" s="48"/>
      <c r="C143" s="49"/>
      <c r="D143" s="8"/>
      <c r="E143" s="9"/>
      <c r="F143" s="47"/>
    </row>
    <row r="144" spans="1:6" x14ac:dyDescent="0.25">
      <c r="A144" s="6"/>
      <c r="B144" s="48"/>
      <c r="C144" s="49"/>
      <c r="D144" s="8"/>
      <c r="E144" s="9"/>
      <c r="F144" s="47"/>
    </row>
    <row r="145" spans="1:6" x14ac:dyDescent="0.25">
      <c r="A145" s="6"/>
      <c r="B145" s="48"/>
      <c r="C145" s="49"/>
      <c r="D145" s="8"/>
      <c r="E145" s="9"/>
      <c r="F145" s="47"/>
    </row>
    <row r="146" spans="1:6" x14ac:dyDescent="0.25">
      <c r="A146" s="6"/>
      <c r="B146" s="48"/>
      <c r="C146" s="49"/>
      <c r="D146" s="8"/>
      <c r="E146" s="9"/>
      <c r="F146" s="47"/>
    </row>
    <row r="147" spans="1:6" x14ac:dyDescent="0.25">
      <c r="A147" s="6"/>
      <c r="B147" s="48"/>
      <c r="C147" s="49"/>
      <c r="D147" s="8"/>
      <c r="E147" s="9"/>
      <c r="F147" s="47"/>
    </row>
    <row r="148" spans="1:6" x14ac:dyDescent="0.25">
      <c r="A148" s="6"/>
      <c r="B148" s="48"/>
      <c r="C148" s="49"/>
      <c r="D148" s="8"/>
      <c r="E148" s="9"/>
      <c r="F148" s="47"/>
    </row>
    <row r="149" spans="1:6" x14ac:dyDescent="0.25">
      <c r="A149" s="6"/>
      <c r="B149" s="48"/>
      <c r="C149" s="49"/>
      <c r="D149" s="8"/>
      <c r="E149" s="9"/>
      <c r="F149" s="47"/>
    </row>
    <row r="150" spans="1:6" x14ac:dyDescent="0.25">
      <c r="A150" s="6"/>
      <c r="B150" s="48"/>
      <c r="C150" s="49"/>
      <c r="D150" s="8"/>
      <c r="E150" s="9"/>
      <c r="F150" s="47"/>
    </row>
    <row r="151" spans="1:6" x14ac:dyDescent="0.25">
      <c r="A151" s="6"/>
      <c r="B151" s="48"/>
      <c r="C151" s="49"/>
      <c r="D151" s="8"/>
      <c r="E151" s="9"/>
      <c r="F151" s="47"/>
    </row>
    <row r="152" spans="1:6" x14ac:dyDescent="0.25">
      <c r="A152" s="6"/>
      <c r="B152" s="48"/>
      <c r="C152" s="49"/>
      <c r="D152" s="8"/>
      <c r="E152" s="9"/>
      <c r="F152" s="47"/>
    </row>
    <row r="153" spans="1:6" x14ac:dyDescent="0.25">
      <c r="A153" s="6"/>
      <c r="B153" s="48"/>
      <c r="C153" s="49"/>
      <c r="D153" s="8"/>
      <c r="E153" s="9"/>
      <c r="F153" s="47"/>
    </row>
    <row r="154" spans="1:6" x14ac:dyDescent="0.25">
      <c r="A154" s="6"/>
      <c r="B154" s="48"/>
      <c r="C154" s="49"/>
      <c r="D154" s="8"/>
      <c r="E154" s="9"/>
      <c r="F154" s="47"/>
    </row>
    <row r="155" spans="1:6" ht="26.25" thickBot="1" x14ac:dyDescent="0.3">
      <c r="A155" s="126"/>
      <c r="B155" s="129" t="s">
        <v>71</v>
      </c>
      <c r="C155" s="127"/>
      <c r="D155" s="127"/>
      <c r="E155" s="128"/>
      <c r="F155" s="104">
        <f>F126+F124</f>
        <v>233741</v>
      </c>
    </row>
    <row r="156" spans="1:6" x14ac:dyDescent="0.25">
      <c r="A156" s="1" t="s">
        <v>0</v>
      </c>
      <c r="B156" s="2" t="s">
        <v>1</v>
      </c>
      <c r="C156" s="3" t="s">
        <v>2</v>
      </c>
      <c r="D156" s="3" t="s">
        <v>3</v>
      </c>
      <c r="E156" s="4" t="s">
        <v>4</v>
      </c>
      <c r="F156" s="5" t="s">
        <v>5</v>
      </c>
    </row>
    <row r="157" spans="1:6" x14ac:dyDescent="0.25">
      <c r="A157" s="6"/>
      <c r="B157" s="48"/>
      <c r="C157" s="49"/>
      <c r="D157" s="8"/>
      <c r="E157" s="9"/>
      <c r="F157" s="47"/>
    </row>
    <row r="158" spans="1:6" ht="25.5" x14ac:dyDescent="0.25">
      <c r="A158" s="6"/>
      <c r="B158" s="125" t="s">
        <v>70</v>
      </c>
      <c r="C158" s="49"/>
      <c r="D158" s="8"/>
      <c r="E158" s="9"/>
      <c r="F158" s="47"/>
    </row>
    <row r="159" spans="1:6" x14ac:dyDescent="0.25">
      <c r="A159" s="6"/>
      <c r="B159" s="48"/>
      <c r="C159" s="49"/>
      <c r="D159" s="8"/>
      <c r="E159" s="9"/>
      <c r="F159" s="47"/>
    </row>
    <row r="160" spans="1:6" ht="26.25" x14ac:dyDescent="0.25">
      <c r="A160" s="18"/>
      <c r="B160" s="19" t="s">
        <v>72</v>
      </c>
      <c r="C160" s="20"/>
      <c r="D160" s="20"/>
      <c r="E160" s="21"/>
      <c r="F160" s="22"/>
    </row>
    <row r="161" spans="1:6" x14ac:dyDescent="0.25">
      <c r="A161" s="18"/>
      <c r="B161" s="23"/>
      <c r="C161" s="20"/>
      <c r="D161" s="20"/>
      <c r="E161" s="21"/>
      <c r="F161" s="24"/>
    </row>
    <row r="162" spans="1:6" ht="26.25" x14ac:dyDescent="0.25">
      <c r="A162" s="18" t="s">
        <v>7</v>
      </c>
      <c r="B162" s="130" t="s">
        <v>73</v>
      </c>
      <c r="C162" s="20">
        <v>81</v>
      </c>
      <c r="D162" s="20" t="s">
        <v>8</v>
      </c>
      <c r="E162" s="21">
        <v>450</v>
      </c>
      <c r="F162" s="24">
        <f>C162*E162</f>
        <v>36450</v>
      </c>
    </row>
    <row r="163" spans="1:6" x14ac:dyDescent="0.25">
      <c r="A163" s="6"/>
      <c r="B163" s="48"/>
      <c r="C163" s="49"/>
      <c r="D163" s="8"/>
      <c r="E163" s="9"/>
      <c r="F163" s="47"/>
    </row>
    <row r="164" spans="1:6" ht="26.25" x14ac:dyDescent="0.25">
      <c r="A164" s="6" t="s">
        <v>9</v>
      </c>
      <c r="B164" s="130" t="s">
        <v>74</v>
      </c>
      <c r="C164" s="8">
        <v>155</v>
      </c>
      <c r="D164" s="8" t="s">
        <v>8</v>
      </c>
      <c r="E164" s="9">
        <v>450</v>
      </c>
      <c r="F164" s="10">
        <f>C164*E164</f>
        <v>69750</v>
      </c>
    </row>
    <row r="165" spans="1:6" x14ac:dyDescent="0.25">
      <c r="A165" s="6"/>
      <c r="B165" s="48"/>
      <c r="C165" s="49"/>
      <c r="D165" s="8"/>
      <c r="E165" s="9"/>
      <c r="F165" s="47"/>
    </row>
    <row r="166" spans="1:6" ht="90" x14ac:dyDescent="0.25">
      <c r="A166" s="18"/>
      <c r="B166" s="19" t="s">
        <v>75</v>
      </c>
      <c r="C166" s="20"/>
      <c r="D166" s="20"/>
      <c r="E166" s="21"/>
      <c r="F166" s="24"/>
    </row>
    <row r="167" spans="1:6" x14ac:dyDescent="0.25">
      <c r="A167" s="18"/>
      <c r="B167" s="131"/>
      <c r="C167" s="20"/>
      <c r="D167" s="20"/>
      <c r="E167" s="21"/>
      <c r="F167" s="24"/>
    </row>
    <row r="168" spans="1:6" x14ac:dyDescent="0.25">
      <c r="A168" s="18" t="s">
        <v>10</v>
      </c>
      <c r="B168" s="132" t="s">
        <v>76</v>
      </c>
      <c r="C168" s="20">
        <v>81</v>
      </c>
      <c r="D168" s="20" t="s">
        <v>8</v>
      </c>
      <c r="E168" s="21">
        <v>1950</v>
      </c>
      <c r="F168" s="24">
        <f>C168*E168</f>
        <v>157950</v>
      </c>
    </row>
    <row r="169" spans="1:6" x14ac:dyDescent="0.25">
      <c r="A169" s="6"/>
      <c r="B169" s="48"/>
      <c r="C169" s="49"/>
      <c r="D169" s="8"/>
      <c r="E169" s="9"/>
      <c r="F169" s="47"/>
    </row>
    <row r="170" spans="1:6" x14ac:dyDescent="0.25">
      <c r="A170" s="6" t="s">
        <v>11</v>
      </c>
      <c r="B170" s="122" t="s">
        <v>77</v>
      </c>
      <c r="C170" s="8">
        <v>155</v>
      </c>
      <c r="D170" s="8" t="s">
        <v>8</v>
      </c>
      <c r="E170" s="9">
        <v>1950</v>
      </c>
      <c r="F170" s="10">
        <f>C170*E170</f>
        <v>302250</v>
      </c>
    </row>
    <row r="171" spans="1:6" x14ac:dyDescent="0.25">
      <c r="A171" s="6"/>
      <c r="B171" s="48"/>
      <c r="C171" s="49"/>
      <c r="D171" s="8"/>
      <c r="E171" s="9"/>
      <c r="F171" s="47"/>
    </row>
    <row r="172" spans="1:6" x14ac:dyDescent="0.25">
      <c r="A172" s="6"/>
      <c r="B172" s="125" t="s">
        <v>78</v>
      </c>
      <c r="C172" s="49"/>
      <c r="D172" s="8"/>
      <c r="E172" s="9"/>
      <c r="F172" s="47"/>
    </row>
    <row r="173" spans="1:6" x14ac:dyDescent="0.25">
      <c r="A173" s="6"/>
      <c r="B173" s="125"/>
      <c r="C173" s="49"/>
      <c r="D173" s="8"/>
      <c r="E173" s="9"/>
      <c r="F173" s="47"/>
    </row>
    <row r="174" spans="1:6" ht="25.5" x14ac:dyDescent="0.25">
      <c r="A174" s="6" t="s">
        <v>12</v>
      </c>
      <c r="B174" s="122" t="s">
        <v>79</v>
      </c>
      <c r="C174" s="8">
        <v>58</v>
      </c>
      <c r="D174" s="8" t="s">
        <v>68</v>
      </c>
      <c r="E174" s="9">
        <v>540</v>
      </c>
      <c r="F174" s="10">
        <f>C174*E174</f>
        <v>31320</v>
      </c>
    </row>
    <row r="175" spans="1:6" x14ac:dyDescent="0.25">
      <c r="A175" s="6"/>
      <c r="B175" s="125"/>
      <c r="C175" s="49"/>
      <c r="D175" s="8"/>
      <c r="E175" s="9"/>
      <c r="F175" s="47"/>
    </row>
    <row r="176" spans="1:6" x14ac:dyDescent="0.25">
      <c r="A176" s="6"/>
      <c r="B176" s="125" t="s">
        <v>81</v>
      </c>
      <c r="C176" s="49"/>
      <c r="D176" s="8"/>
      <c r="E176" s="9"/>
      <c r="F176" s="47"/>
    </row>
    <row r="177" spans="1:6" x14ac:dyDescent="0.25">
      <c r="A177" s="6"/>
      <c r="B177" s="125"/>
      <c r="C177" s="49"/>
      <c r="D177" s="8"/>
      <c r="E177" s="9"/>
      <c r="F177" s="47"/>
    </row>
    <row r="178" spans="1:6" ht="77.25" x14ac:dyDescent="0.25">
      <c r="A178" s="6" t="s">
        <v>27</v>
      </c>
      <c r="B178" s="134" t="s">
        <v>80</v>
      </c>
      <c r="C178" s="8">
        <v>4</v>
      </c>
      <c r="D178" s="8" t="s">
        <v>82</v>
      </c>
      <c r="E178" s="9">
        <v>5500</v>
      </c>
      <c r="F178" s="10">
        <f>E178*C178</f>
        <v>22000</v>
      </c>
    </row>
    <row r="179" spans="1:6" x14ac:dyDescent="0.25">
      <c r="A179" s="6"/>
      <c r="B179" s="125"/>
      <c r="C179" s="49"/>
      <c r="D179" s="8"/>
      <c r="E179" s="9"/>
      <c r="F179" s="47"/>
    </row>
    <row r="180" spans="1:6" x14ac:dyDescent="0.25">
      <c r="A180" s="6"/>
      <c r="B180" s="125"/>
      <c r="C180" s="49"/>
      <c r="D180" s="8"/>
      <c r="E180" s="9"/>
      <c r="F180" s="47"/>
    </row>
    <row r="181" spans="1:6" x14ac:dyDescent="0.25">
      <c r="A181" s="6"/>
      <c r="B181" s="125"/>
      <c r="C181" s="49"/>
      <c r="D181" s="8"/>
      <c r="E181" s="9"/>
      <c r="F181" s="47"/>
    </row>
    <row r="182" spans="1:6" x14ac:dyDescent="0.25">
      <c r="A182" s="6"/>
      <c r="B182" s="125"/>
      <c r="C182" s="49"/>
      <c r="D182" s="8"/>
      <c r="E182" s="9"/>
      <c r="F182" s="47"/>
    </row>
    <row r="183" spans="1:6" x14ac:dyDescent="0.25">
      <c r="A183" s="6"/>
      <c r="B183" s="125"/>
      <c r="C183" s="49"/>
      <c r="D183" s="8"/>
      <c r="E183" s="9"/>
      <c r="F183" s="47"/>
    </row>
    <row r="184" spans="1:6" x14ac:dyDescent="0.25">
      <c r="A184" s="6"/>
      <c r="B184" s="125"/>
      <c r="C184" s="49"/>
      <c r="D184" s="8"/>
      <c r="E184" s="9"/>
      <c r="F184" s="47"/>
    </row>
    <row r="185" spans="1:6" x14ac:dyDescent="0.25">
      <c r="A185" s="6"/>
      <c r="B185" s="125"/>
      <c r="C185" s="49"/>
      <c r="D185" s="8"/>
      <c r="E185" s="9"/>
      <c r="F185" s="47"/>
    </row>
    <row r="186" spans="1:6" x14ac:dyDescent="0.25">
      <c r="A186" s="6"/>
      <c r="B186" s="125"/>
      <c r="C186" s="49"/>
      <c r="D186" s="8"/>
      <c r="E186" s="9"/>
      <c r="F186" s="47"/>
    </row>
    <row r="187" spans="1:6" x14ac:dyDescent="0.25">
      <c r="A187" s="6"/>
      <c r="B187" s="125"/>
      <c r="C187" s="49"/>
      <c r="D187" s="8"/>
      <c r="E187" s="9"/>
      <c r="F187" s="47"/>
    </row>
    <row r="188" spans="1:6" ht="26.25" thickBot="1" x14ac:dyDescent="0.3">
      <c r="A188" s="126"/>
      <c r="B188" s="129" t="s">
        <v>83</v>
      </c>
      <c r="C188" s="127"/>
      <c r="D188" s="127"/>
      <c r="E188" s="128"/>
      <c r="F188" s="104">
        <f>SUM(F162:F178)</f>
        <v>619720</v>
      </c>
    </row>
    <row r="189" spans="1:6" x14ac:dyDescent="0.25">
      <c r="A189" s="1" t="s">
        <v>87</v>
      </c>
      <c r="B189" s="2" t="s">
        <v>84</v>
      </c>
      <c r="C189" s="3" t="s">
        <v>13</v>
      </c>
      <c r="D189" s="3"/>
      <c r="E189" s="4"/>
      <c r="F189" s="5" t="s">
        <v>85</v>
      </c>
    </row>
    <row r="190" spans="1:6" x14ac:dyDescent="0.25">
      <c r="A190" s="6"/>
      <c r="B190" s="11"/>
      <c r="C190" s="8"/>
      <c r="D190" s="8"/>
      <c r="E190" s="9"/>
      <c r="F190" s="47"/>
    </row>
    <row r="191" spans="1:6" x14ac:dyDescent="0.25">
      <c r="A191" s="6"/>
      <c r="B191" s="135" t="s">
        <v>88</v>
      </c>
      <c r="C191" s="49"/>
      <c r="D191" s="8"/>
      <c r="E191" s="9"/>
      <c r="F191" s="47"/>
    </row>
    <row r="192" spans="1:6" x14ac:dyDescent="0.25">
      <c r="A192" s="6"/>
      <c r="B192" s="11"/>
      <c r="C192" s="8"/>
      <c r="D192" s="8"/>
      <c r="E192" s="9"/>
      <c r="F192" s="47"/>
    </row>
    <row r="193" spans="1:6" x14ac:dyDescent="0.25">
      <c r="A193" s="50">
        <v>1</v>
      </c>
      <c r="B193" s="136" t="s">
        <v>86</v>
      </c>
      <c r="C193" s="8">
        <v>4</v>
      </c>
      <c r="D193" s="8"/>
      <c r="E193" s="9"/>
      <c r="F193" s="47">
        <f>F155</f>
        <v>233741</v>
      </c>
    </row>
    <row r="194" spans="1:6" x14ac:dyDescent="0.25">
      <c r="A194" s="52"/>
      <c r="B194" s="53"/>
      <c r="C194" s="8"/>
      <c r="D194" s="8"/>
      <c r="E194" s="9"/>
      <c r="F194" s="47"/>
    </row>
    <row r="195" spans="1:6" x14ac:dyDescent="0.25">
      <c r="A195" s="50">
        <v>2</v>
      </c>
      <c r="B195" s="136" t="s">
        <v>89</v>
      </c>
      <c r="C195" s="8">
        <v>5</v>
      </c>
      <c r="D195" s="8"/>
      <c r="E195" s="9"/>
      <c r="F195" s="47">
        <f>F188</f>
        <v>619720</v>
      </c>
    </row>
    <row r="196" spans="1:6" x14ac:dyDescent="0.25">
      <c r="A196" s="52"/>
      <c r="B196" s="53"/>
      <c r="C196" s="8"/>
      <c r="D196" s="8"/>
      <c r="E196" s="9"/>
      <c r="F196" s="47"/>
    </row>
    <row r="197" spans="1:6" x14ac:dyDescent="0.25">
      <c r="A197" s="50"/>
      <c r="B197" s="111"/>
      <c r="C197" s="8"/>
      <c r="D197" s="8"/>
      <c r="E197" s="9"/>
      <c r="F197" s="47"/>
    </row>
    <row r="198" spans="1:6" x14ac:dyDescent="0.25">
      <c r="A198" s="6"/>
      <c r="B198" s="11"/>
      <c r="C198" s="8"/>
      <c r="D198" s="8"/>
      <c r="E198" s="9"/>
      <c r="F198" s="47"/>
    </row>
    <row r="199" spans="1:6" x14ac:dyDescent="0.25">
      <c r="A199" s="6"/>
      <c r="B199" s="29"/>
      <c r="C199" s="8"/>
      <c r="D199" s="8"/>
      <c r="E199" s="9"/>
      <c r="F199" s="10"/>
    </row>
    <row r="200" spans="1:6" x14ac:dyDescent="0.25">
      <c r="A200" s="6"/>
      <c r="B200" s="29"/>
      <c r="C200" s="8"/>
      <c r="D200" s="8"/>
      <c r="E200" s="9"/>
      <c r="F200" s="10"/>
    </row>
    <row r="201" spans="1:6" x14ac:dyDescent="0.25">
      <c r="A201" s="6"/>
      <c r="B201" s="29"/>
      <c r="C201" s="8"/>
      <c r="D201" s="8"/>
      <c r="E201" s="9"/>
      <c r="F201" s="10"/>
    </row>
    <row r="202" spans="1:6" x14ac:dyDescent="0.25">
      <c r="A202" s="6"/>
      <c r="B202" s="29"/>
      <c r="C202" s="8"/>
      <c r="D202" s="8"/>
      <c r="E202" s="9"/>
      <c r="F202" s="10"/>
    </row>
    <row r="203" spans="1:6" x14ac:dyDescent="0.25">
      <c r="A203" s="6"/>
      <c r="B203" s="29"/>
      <c r="C203" s="8"/>
      <c r="D203" s="8"/>
      <c r="E203" s="9"/>
      <c r="F203" s="10"/>
    </row>
    <row r="204" spans="1:6" x14ac:dyDescent="0.25">
      <c r="A204" s="6"/>
      <c r="B204" s="29"/>
      <c r="C204" s="8"/>
      <c r="D204" s="8"/>
      <c r="E204" s="9"/>
      <c r="F204" s="10"/>
    </row>
    <row r="205" spans="1:6" x14ac:dyDescent="0.25">
      <c r="A205" s="6"/>
      <c r="B205" s="29"/>
      <c r="C205" s="8"/>
      <c r="D205" s="8"/>
      <c r="E205" s="9"/>
      <c r="F205" s="10"/>
    </row>
    <row r="206" spans="1:6" x14ac:dyDescent="0.25">
      <c r="A206" s="6"/>
      <c r="B206" s="29"/>
      <c r="C206" s="8"/>
      <c r="D206" s="8"/>
      <c r="E206" s="9"/>
      <c r="F206" s="10"/>
    </row>
    <row r="207" spans="1:6" x14ac:dyDescent="0.25">
      <c r="A207" s="6"/>
      <c r="B207" s="29"/>
      <c r="C207" s="8"/>
      <c r="D207" s="8"/>
      <c r="E207" s="9"/>
      <c r="F207" s="10"/>
    </row>
    <row r="208" spans="1:6" x14ac:dyDescent="0.25">
      <c r="A208" s="6"/>
      <c r="B208" s="29"/>
      <c r="C208" s="8"/>
      <c r="D208" s="8"/>
      <c r="E208" s="9"/>
      <c r="F208" s="10"/>
    </row>
    <row r="209" spans="1:6" x14ac:dyDescent="0.25">
      <c r="A209" s="6"/>
      <c r="B209" s="29"/>
      <c r="C209" s="8"/>
      <c r="D209" s="8"/>
      <c r="E209" s="9"/>
      <c r="F209" s="10"/>
    </row>
    <row r="210" spans="1:6" x14ac:dyDescent="0.25">
      <c r="A210" s="6"/>
      <c r="B210" s="29"/>
      <c r="C210" s="8"/>
      <c r="D210" s="8"/>
      <c r="E210" s="9"/>
      <c r="F210" s="10"/>
    </row>
    <row r="211" spans="1:6" x14ac:dyDescent="0.25">
      <c r="A211" s="6"/>
      <c r="B211" s="29"/>
      <c r="C211" s="8"/>
      <c r="D211" s="8"/>
      <c r="E211" s="9"/>
      <c r="F211" s="10"/>
    </row>
    <row r="212" spans="1:6" x14ac:dyDescent="0.25">
      <c r="A212" s="6"/>
      <c r="B212" s="29"/>
      <c r="C212" s="8"/>
      <c r="D212" s="8"/>
      <c r="E212" s="9"/>
      <c r="F212" s="10"/>
    </row>
    <row r="213" spans="1:6" x14ac:dyDescent="0.25">
      <c r="A213" s="6"/>
      <c r="B213" s="29"/>
      <c r="C213" s="8"/>
      <c r="D213" s="8"/>
      <c r="E213" s="9"/>
      <c r="F213" s="10"/>
    </row>
    <row r="214" spans="1:6" x14ac:dyDescent="0.25">
      <c r="A214" s="6"/>
      <c r="B214" s="29"/>
      <c r="C214" s="8"/>
      <c r="D214" s="8"/>
      <c r="E214" s="9"/>
      <c r="F214" s="10"/>
    </row>
    <row r="215" spans="1:6" x14ac:dyDescent="0.25">
      <c r="A215" s="6"/>
      <c r="B215" s="29"/>
      <c r="C215" s="8"/>
      <c r="D215" s="8"/>
      <c r="E215" s="9"/>
      <c r="F215" s="10"/>
    </row>
    <row r="216" spans="1:6" x14ac:dyDescent="0.25">
      <c r="A216" s="6"/>
      <c r="B216" s="29"/>
      <c r="C216" s="8"/>
      <c r="D216" s="8"/>
      <c r="E216" s="9"/>
      <c r="F216" s="10"/>
    </row>
    <row r="217" spans="1:6" x14ac:dyDescent="0.25">
      <c r="A217" s="6"/>
      <c r="B217" s="29"/>
      <c r="C217" s="8"/>
      <c r="D217" s="8"/>
      <c r="E217" s="9"/>
      <c r="F217" s="10"/>
    </row>
    <row r="218" spans="1:6" x14ac:dyDescent="0.25">
      <c r="A218" s="6"/>
      <c r="B218" s="29"/>
      <c r="C218" s="8"/>
      <c r="D218" s="8"/>
      <c r="E218" s="9"/>
      <c r="F218" s="10"/>
    </row>
    <row r="219" spans="1:6" x14ac:dyDescent="0.25">
      <c r="A219" s="6"/>
      <c r="B219" s="29"/>
      <c r="C219" s="8"/>
      <c r="D219" s="8"/>
      <c r="E219" s="9"/>
      <c r="F219" s="10"/>
    </row>
    <row r="220" spans="1:6" x14ac:dyDescent="0.25">
      <c r="A220" s="6"/>
      <c r="B220" s="29"/>
      <c r="C220" s="8"/>
      <c r="D220" s="8"/>
      <c r="E220" s="9"/>
      <c r="F220" s="10"/>
    </row>
    <row r="221" spans="1:6" x14ac:dyDescent="0.25">
      <c r="A221" s="6"/>
      <c r="B221" s="29"/>
      <c r="C221" s="8"/>
      <c r="D221" s="8"/>
      <c r="E221" s="9"/>
      <c r="F221" s="10"/>
    </row>
    <row r="222" spans="1:6" x14ac:dyDescent="0.25">
      <c r="A222" s="6"/>
      <c r="B222" s="29"/>
      <c r="C222" s="8"/>
      <c r="D222" s="8"/>
      <c r="E222" s="9"/>
      <c r="F222" s="10"/>
    </row>
    <row r="223" spans="1:6" x14ac:dyDescent="0.25">
      <c r="A223" s="6"/>
      <c r="B223" s="29"/>
      <c r="C223" s="8"/>
      <c r="D223" s="8"/>
      <c r="E223" s="9"/>
      <c r="F223" s="10"/>
    </row>
    <row r="224" spans="1:6" x14ac:dyDescent="0.25">
      <c r="A224" s="6"/>
      <c r="B224" s="29"/>
      <c r="C224" s="8"/>
      <c r="D224" s="8"/>
      <c r="E224" s="9"/>
      <c r="F224" s="10"/>
    </row>
    <row r="225" spans="1:6" x14ac:dyDescent="0.25">
      <c r="A225" s="6"/>
      <c r="B225" s="29"/>
      <c r="C225" s="8"/>
      <c r="D225" s="8"/>
      <c r="E225" s="9"/>
      <c r="F225" s="10"/>
    </row>
    <row r="226" spans="1:6" x14ac:dyDescent="0.25">
      <c r="A226" s="6"/>
      <c r="B226" s="29"/>
      <c r="C226" s="8"/>
      <c r="D226" s="8"/>
      <c r="E226" s="9"/>
      <c r="F226" s="10"/>
    </row>
    <row r="227" spans="1:6" x14ac:dyDescent="0.25">
      <c r="A227" s="6"/>
      <c r="B227" s="29"/>
      <c r="C227" s="8"/>
      <c r="D227" s="8"/>
      <c r="E227" s="9"/>
      <c r="F227" s="10"/>
    </row>
    <row r="228" spans="1:6" x14ac:dyDescent="0.25">
      <c r="A228" s="6"/>
      <c r="B228" s="29"/>
      <c r="C228" s="8"/>
      <c r="D228" s="8"/>
      <c r="E228" s="9"/>
      <c r="F228" s="10"/>
    </row>
    <row r="229" spans="1:6" x14ac:dyDescent="0.25">
      <c r="A229" s="6"/>
      <c r="B229" s="29"/>
      <c r="C229" s="8"/>
      <c r="D229" s="8"/>
      <c r="E229" s="9"/>
      <c r="F229" s="10"/>
    </row>
    <row r="230" spans="1:6" x14ac:dyDescent="0.25">
      <c r="A230" s="6"/>
      <c r="B230" s="29"/>
      <c r="C230" s="8"/>
      <c r="D230" s="8"/>
      <c r="E230" s="9"/>
      <c r="F230" s="10"/>
    </row>
    <row r="231" spans="1:6" x14ac:dyDescent="0.25">
      <c r="A231" s="6"/>
      <c r="B231" s="29"/>
      <c r="C231" s="8"/>
      <c r="D231" s="8"/>
      <c r="E231" s="9"/>
      <c r="F231" s="10"/>
    </row>
    <row r="232" spans="1:6" x14ac:dyDescent="0.25">
      <c r="A232" s="6"/>
      <c r="B232" s="29"/>
      <c r="C232" s="8"/>
      <c r="D232" s="8"/>
      <c r="E232" s="9"/>
      <c r="F232" s="10"/>
    </row>
    <row r="233" spans="1:6" x14ac:dyDescent="0.25">
      <c r="A233" s="6"/>
      <c r="B233" s="29"/>
      <c r="C233" s="8"/>
      <c r="D233" s="8"/>
      <c r="E233" s="9"/>
      <c r="F233" s="10"/>
    </row>
    <row r="234" spans="1:6" ht="26.25" thickBot="1" x14ac:dyDescent="0.3">
      <c r="A234" s="30"/>
      <c r="B234" s="31" t="s">
        <v>90</v>
      </c>
      <c r="C234" s="32"/>
      <c r="D234" s="32"/>
      <c r="E234" s="32"/>
      <c r="F234" s="34">
        <f>SUM(F193:F197)</f>
        <v>853461</v>
      </c>
    </row>
    <row r="235" spans="1:6" x14ac:dyDescent="0.25">
      <c r="A235" s="1" t="s">
        <v>0</v>
      </c>
      <c r="B235" s="2" t="s">
        <v>1</v>
      </c>
      <c r="C235" s="3" t="s">
        <v>2</v>
      </c>
      <c r="D235" s="3" t="s">
        <v>3</v>
      </c>
      <c r="E235" s="4" t="s">
        <v>4</v>
      </c>
      <c r="F235" s="5" t="s">
        <v>5</v>
      </c>
    </row>
    <row r="236" spans="1:6" x14ac:dyDescent="0.25">
      <c r="A236" s="6"/>
      <c r="B236" s="48"/>
      <c r="C236" s="49"/>
      <c r="D236" s="8"/>
      <c r="E236" s="9"/>
      <c r="F236" s="47"/>
    </row>
    <row r="237" spans="1:6" x14ac:dyDescent="0.25">
      <c r="A237" s="6"/>
      <c r="B237" s="12" t="s">
        <v>111</v>
      </c>
      <c r="C237" s="49"/>
      <c r="D237" s="8"/>
      <c r="E237" s="9"/>
      <c r="F237" s="47"/>
    </row>
    <row r="238" spans="1:6" x14ac:dyDescent="0.25">
      <c r="A238" s="6"/>
      <c r="B238" s="12"/>
      <c r="C238" s="49"/>
      <c r="D238" s="8"/>
      <c r="E238" s="9"/>
      <c r="F238" s="47"/>
    </row>
    <row r="239" spans="1:6" ht="25.5" x14ac:dyDescent="0.25">
      <c r="A239" s="13"/>
      <c r="B239" s="14" t="s">
        <v>91</v>
      </c>
      <c r="C239" s="49"/>
      <c r="D239" s="8"/>
      <c r="E239" s="9"/>
      <c r="F239" s="47"/>
    </row>
    <row r="240" spans="1:6" x14ac:dyDescent="0.25">
      <c r="A240" s="6"/>
      <c r="B240" s="48"/>
      <c r="C240" s="49"/>
      <c r="D240" s="8"/>
      <c r="E240" s="9"/>
      <c r="F240" s="47"/>
    </row>
    <row r="241" spans="1:6" x14ac:dyDescent="0.25">
      <c r="A241" s="13"/>
      <c r="B241" s="137" t="s">
        <v>92</v>
      </c>
      <c r="C241" s="15"/>
      <c r="D241" s="15"/>
      <c r="E241" s="15"/>
      <c r="F241" s="16"/>
    </row>
    <row r="242" spans="1:6" x14ac:dyDescent="0.25">
      <c r="A242" s="6"/>
      <c r="B242" s="138"/>
      <c r="C242" s="8"/>
      <c r="D242" s="8"/>
      <c r="E242" s="9"/>
      <c r="F242" s="10"/>
    </row>
    <row r="243" spans="1:6" ht="39" x14ac:dyDescent="0.25">
      <c r="A243" s="6"/>
      <c r="B243" s="137" t="s">
        <v>17</v>
      </c>
      <c r="C243" s="8"/>
      <c r="D243" s="8"/>
      <c r="E243" s="9"/>
      <c r="F243" s="10"/>
    </row>
    <row r="244" spans="1:6" x14ac:dyDescent="0.25">
      <c r="A244" s="6"/>
      <c r="B244" s="12"/>
      <c r="C244" s="8"/>
      <c r="D244" s="8"/>
      <c r="E244" s="9"/>
      <c r="F244" s="10"/>
    </row>
    <row r="245" spans="1:6" ht="39" x14ac:dyDescent="0.25">
      <c r="A245" s="6" t="s">
        <v>7</v>
      </c>
      <c r="B245" s="138" t="s">
        <v>93</v>
      </c>
      <c r="C245" s="8">
        <v>389</v>
      </c>
      <c r="D245" s="8" t="s">
        <v>8</v>
      </c>
      <c r="E245" s="9">
        <v>80</v>
      </c>
      <c r="F245" s="10">
        <f>C245*E245</f>
        <v>31120</v>
      </c>
    </row>
    <row r="246" spans="1:6" x14ac:dyDescent="0.25">
      <c r="A246" s="6"/>
      <c r="B246" s="138"/>
      <c r="C246" s="8"/>
      <c r="D246" s="8"/>
      <c r="E246" s="9"/>
      <c r="F246" s="10"/>
    </row>
    <row r="247" spans="1:6" x14ac:dyDescent="0.25">
      <c r="A247" s="6"/>
      <c r="B247" s="137" t="s">
        <v>18</v>
      </c>
      <c r="C247" s="8"/>
      <c r="D247" s="8"/>
      <c r="E247" s="9"/>
      <c r="F247" s="10"/>
    </row>
    <row r="248" spans="1:6" x14ac:dyDescent="0.25">
      <c r="A248" s="6"/>
      <c r="B248" s="12"/>
      <c r="C248" s="8"/>
      <c r="D248" s="8"/>
      <c r="E248" s="9"/>
      <c r="F248" s="10"/>
    </row>
    <row r="249" spans="1:6" ht="26.25" x14ac:dyDescent="0.25">
      <c r="A249" s="6" t="s">
        <v>9</v>
      </c>
      <c r="B249" s="138" t="s">
        <v>19</v>
      </c>
      <c r="C249" s="8">
        <v>389</v>
      </c>
      <c r="D249" s="8" t="s">
        <v>8</v>
      </c>
      <c r="E249" s="9">
        <v>100</v>
      </c>
      <c r="F249" s="10">
        <f>C249*E249</f>
        <v>38900</v>
      </c>
    </row>
    <row r="250" spans="1:6" x14ac:dyDescent="0.25">
      <c r="A250" s="6"/>
      <c r="B250" s="137"/>
      <c r="C250" s="8"/>
      <c r="D250" s="8"/>
      <c r="E250" s="9"/>
      <c r="F250" s="10"/>
    </row>
    <row r="251" spans="1:6" x14ac:dyDescent="0.25">
      <c r="A251" s="18"/>
      <c r="B251" s="23" t="s">
        <v>20</v>
      </c>
      <c r="C251" s="20"/>
      <c r="D251" s="20"/>
      <c r="E251" s="21"/>
      <c r="F251" s="24"/>
    </row>
    <row r="252" spans="1:6" x14ac:dyDescent="0.25">
      <c r="A252" s="18"/>
      <c r="B252" s="23"/>
      <c r="C252" s="20"/>
      <c r="D252" s="20"/>
      <c r="E252" s="21"/>
      <c r="F252" s="24"/>
    </row>
    <row r="253" spans="1:6" ht="26.25" x14ac:dyDescent="0.25">
      <c r="A253" s="18"/>
      <c r="B253" s="119" t="s">
        <v>21</v>
      </c>
      <c r="C253" s="20"/>
      <c r="D253" s="20"/>
      <c r="E253" s="21"/>
      <c r="F253" s="24"/>
    </row>
    <row r="254" spans="1:6" x14ac:dyDescent="0.25">
      <c r="A254" s="18"/>
      <c r="B254" s="23"/>
      <c r="C254" s="20"/>
      <c r="D254" s="20"/>
      <c r="E254" s="21"/>
      <c r="F254" s="24"/>
    </row>
    <row r="255" spans="1:6" x14ac:dyDescent="0.25">
      <c r="A255" s="18"/>
      <c r="B255" s="23" t="s">
        <v>22</v>
      </c>
      <c r="C255" s="20"/>
      <c r="D255" s="20"/>
      <c r="E255" s="21"/>
      <c r="F255" s="24"/>
    </row>
    <row r="256" spans="1:6" x14ac:dyDescent="0.25">
      <c r="A256" s="18"/>
      <c r="B256" s="23"/>
      <c r="C256" s="20"/>
      <c r="D256" s="20"/>
      <c r="E256" s="21"/>
      <c r="F256" s="24"/>
    </row>
    <row r="257" spans="1:6" x14ac:dyDescent="0.25">
      <c r="A257" s="18" t="s">
        <v>10</v>
      </c>
      <c r="B257" s="25" t="s">
        <v>23</v>
      </c>
      <c r="C257" s="20">
        <v>389</v>
      </c>
      <c r="D257" s="20" t="s">
        <v>8</v>
      </c>
      <c r="E257" s="21">
        <v>250</v>
      </c>
      <c r="F257" s="24">
        <f>C257*E257</f>
        <v>97250</v>
      </c>
    </row>
    <row r="258" spans="1:6" x14ac:dyDescent="0.25">
      <c r="A258" s="6"/>
      <c r="B258" s="139"/>
      <c r="C258" s="8"/>
      <c r="D258" s="8"/>
      <c r="E258" s="9"/>
      <c r="F258" s="140"/>
    </row>
    <row r="259" spans="1:6" x14ac:dyDescent="0.25">
      <c r="A259" s="18"/>
      <c r="B259" s="45" t="s">
        <v>32</v>
      </c>
      <c r="C259" s="20"/>
      <c r="D259" s="20"/>
      <c r="E259" s="21"/>
      <c r="F259" s="24"/>
    </row>
    <row r="260" spans="1:6" x14ac:dyDescent="0.25">
      <c r="A260" s="18"/>
      <c r="B260" s="44"/>
      <c r="C260" s="20"/>
      <c r="D260" s="20"/>
      <c r="E260" s="21"/>
      <c r="F260" s="24"/>
    </row>
    <row r="261" spans="1:6" ht="25.5" x14ac:dyDescent="0.25">
      <c r="A261" s="18" t="s">
        <v>11</v>
      </c>
      <c r="B261" s="44" t="s">
        <v>33</v>
      </c>
      <c r="C261" s="20">
        <v>97</v>
      </c>
      <c r="D261" s="20" t="s">
        <v>25</v>
      </c>
      <c r="E261" s="21">
        <v>350</v>
      </c>
      <c r="F261" s="24">
        <f>C261*E261</f>
        <v>33950</v>
      </c>
    </row>
    <row r="262" spans="1:6" x14ac:dyDescent="0.25">
      <c r="A262" s="6"/>
      <c r="B262" s="139"/>
      <c r="C262" s="8"/>
      <c r="D262" s="8"/>
      <c r="E262" s="9"/>
      <c r="F262" s="140"/>
    </row>
    <row r="263" spans="1:6" x14ac:dyDescent="0.25">
      <c r="A263" s="6"/>
      <c r="B263" s="141" t="s">
        <v>94</v>
      </c>
      <c r="C263" s="8"/>
      <c r="D263" s="8"/>
      <c r="E263" s="9"/>
      <c r="F263" s="140"/>
    </row>
    <row r="264" spans="1:6" x14ac:dyDescent="0.25">
      <c r="A264" s="6"/>
      <c r="B264" s="139"/>
      <c r="C264" s="8"/>
      <c r="D264" s="8"/>
      <c r="E264" s="9"/>
      <c r="F264" s="140"/>
    </row>
    <row r="265" spans="1:6" x14ac:dyDescent="0.25">
      <c r="A265" s="6" t="s">
        <v>12</v>
      </c>
      <c r="B265" s="142" t="s">
        <v>95</v>
      </c>
      <c r="C265" s="8">
        <v>389</v>
      </c>
      <c r="D265" s="8" t="s">
        <v>8</v>
      </c>
      <c r="E265" s="9">
        <v>150</v>
      </c>
      <c r="F265" s="143">
        <f>C265*E265</f>
        <v>58350</v>
      </c>
    </row>
    <row r="266" spans="1:6" x14ac:dyDescent="0.25">
      <c r="A266" s="6"/>
      <c r="B266" s="48"/>
      <c r="C266" s="49"/>
      <c r="D266" s="8"/>
      <c r="E266" s="9"/>
      <c r="F266" s="47"/>
    </row>
    <row r="267" spans="1:6" x14ac:dyDescent="0.25">
      <c r="A267" s="6"/>
      <c r="B267" s="48"/>
      <c r="C267" s="49"/>
      <c r="D267" s="8"/>
      <c r="E267" s="9"/>
      <c r="F267" s="47"/>
    </row>
    <row r="268" spans="1:6" x14ac:dyDescent="0.25">
      <c r="A268" s="6"/>
      <c r="B268" s="122"/>
      <c r="C268" s="8"/>
      <c r="D268" s="8"/>
      <c r="E268" s="9"/>
      <c r="F268" s="10"/>
    </row>
    <row r="269" spans="1:6" x14ac:dyDescent="0.25">
      <c r="A269" s="6"/>
      <c r="B269" s="122"/>
      <c r="C269" s="8"/>
      <c r="D269" s="8"/>
      <c r="E269" s="9"/>
      <c r="F269" s="10"/>
    </row>
    <row r="270" spans="1:6" x14ac:dyDescent="0.25">
      <c r="A270" s="6"/>
      <c r="B270" s="122"/>
      <c r="C270" s="8"/>
      <c r="D270" s="8"/>
      <c r="E270" s="9"/>
      <c r="F270" s="10"/>
    </row>
    <row r="271" spans="1:6" x14ac:dyDescent="0.25">
      <c r="A271" s="6"/>
      <c r="B271" s="122"/>
      <c r="C271" s="8"/>
      <c r="D271" s="8"/>
      <c r="E271" s="9"/>
      <c r="F271" s="10"/>
    </row>
    <row r="272" spans="1:6" x14ac:dyDescent="0.25">
      <c r="A272" s="6"/>
      <c r="B272" s="122"/>
      <c r="C272" s="8"/>
      <c r="D272" s="8"/>
      <c r="E272" s="9"/>
      <c r="F272" s="10"/>
    </row>
    <row r="273" spans="1:6" x14ac:dyDescent="0.25">
      <c r="A273" s="6"/>
      <c r="B273" s="122"/>
      <c r="C273" s="8"/>
      <c r="D273" s="8"/>
      <c r="E273" s="9"/>
      <c r="F273" s="10"/>
    </row>
    <row r="274" spans="1:6" ht="15.75" thickBot="1" x14ac:dyDescent="0.3">
      <c r="A274" s="30"/>
      <c r="B274" s="101" t="s">
        <v>56</v>
      </c>
      <c r="C274" s="32"/>
      <c r="D274" s="32"/>
      <c r="E274" s="33"/>
      <c r="F274" s="124">
        <f>SUM(F245:F265)</f>
        <v>259570</v>
      </c>
    </row>
    <row r="275" spans="1:6" x14ac:dyDescent="0.25">
      <c r="A275" s="1" t="s">
        <v>0</v>
      </c>
      <c r="B275" s="2" t="s">
        <v>1</v>
      </c>
      <c r="C275" s="3" t="s">
        <v>2</v>
      </c>
      <c r="D275" s="3" t="s">
        <v>3</v>
      </c>
      <c r="E275" s="4" t="s">
        <v>4</v>
      </c>
      <c r="F275" s="5" t="s">
        <v>5</v>
      </c>
    </row>
    <row r="276" spans="1:6" x14ac:dyDescent="0.25">
      <c r="A276" s="6"/>
      <c r="B276" s="144"/>
      <c r="C276" s="8"/>
      <c r="D276" s="8"/>
      <c r="E276" s="9"/>
      <c r="F276" s="145"/>
    </row>
    <row r="277" spans="1:6" x14ac:dyDescent="0.25">
      <c r="A277" s="6"/>
      <c r="B277" s="141" t="s">
        <v>96</v>
      </c>
      <c r="C277" s="8"/>
      <c r="D277" s="8"/>
      <c r="E277" s="9"/>
      <c r="F277" s="140"/>
    </row>
    <row r="278" spans="1:6" x14ac:dyDescent="0.25">
      <c r="A278" s="6"/>
      <c r="B278" s="139"/>
      <c r="C278" s="8"/>
      <c r="D278" s="8"/>
      <c r="E278" s="9"/>
      <c r="F278" s="140"/>
    </row>
    <row r="279" spans="1:6" ht="26.25" x14ac:dyDescent="0.25">
      <c r="A279" s="107" t="s">
        <v>7</v>
      </c>
      <c r="B279" s="138" t="s">
        <v>97</v>
      </c>
      <c r="C279" s="8">
        <v>389</v>
      </c>
      <c r="D279" s="8" t="s">
        <v>8</v>
      </c>
      <c r="E279" s="9">
        <v>520</v>
      </c>
      <c r="F279" s="10">
        <f>C279*E279</f>
        <v>202280</v>
      </c>
    </row>
    <row r="280" spans="1:6" x14ac:dyDescent="0.25">
      <c r="A280" s="6"/>
      <c r="B280" s="146"/>
      <c r="C280" s="8"/>
      <c r="D280" s="8"/>
      <c r="E280" s="96"/>
      <c r="F280" s="10"/>
    </row>
    <row r="281" spans="1:6" ht="26.25" x14ac:dyDescent="0.25">
      <c r="A281" s="6" t="s">
        <v>9</v>
      </c>
      <c r="B281" s="134" t="s">
        <v>98</v>
      </c>
      <c r="C281" s="8">
        <v>389</v>
      </c>
      <c r="D281" s="8" t="s">
        <v>8</v>
      </c>
      <c r="E281" s="9">
        <v>300</v>
      </c>
      <c r="F281" s="10">
        <f>C281*E281</f>
        <v>116700</v>
      </c>
    </row>
    <row r="282" spans="1:6" x14ac:dyDescent="0.25">
      <c r="A282" s="6"/>
      <c r="B282" s="138"/>
      <c r="C282" s="8"/>
      <c r="D282" s="8"/>
      <c r="E282" s="9"/>
      <c r="F282" s="10"/>
    </row>
    <row r="283" spans="1:6" x14ac:dyDescent="0.25">
      <c r="A283" s="18"/>
      <c r="B283" s="23" t="s">
        <v>99</v>
      </c>
      <c r="C283" s="20"/>
      <c r="D283" s="20"/>
      <c r="E283" s="21"/>
      <c r="F283" s="24"/>
    </row>
    <row r="284" spans="1:6" x14ac:dyDescent="0.25">
      <c r="A284" s="18"/>
      <c r="B284" s="119"/>
      <c r="C284" s="20"/>
      <c r="D284" s="20"/>
      <c r="E284" s="21"/>
      <c r="F284" s="24"/>
    </row>
    <row r="285" spans="1:6" ht="64.5" x14ac:dyDescent="0.25">
      <c r="A285" s="18"/>
      <c r="B285" s="23" t="s">
        <v>100</v>
      </c>
      <c r="C285" s="20"/>
      <c r="D285" s="20"/>
      <c r="E285" s="21"/>
      <c r="F285" s="24"/>
    </row>
    <row r="286" spans="1:6" x14ac:dyDescent="0.25">
      <c r="A286" s="18"/>
      <c r="B286" s="25"/>
      <c r="C286" s="20"/>
      <c r="D286" s="20"/>
      <c r="E286" s="21"/>
      <c r="F286" s="24"/>
    </row>
    <row r="287" spans="1:6" x14ac:dyDescent="0.25">
      <c r="A287" s="18" t="s">
        <v>10</v>
      </c>
      <c r="B287" s="25" t="s">
        <v>101</v>
      </c>
      <c r="C287" s="20">
        <f>C281</f>
        <v>389</v>
      </c>
      <c r="D287" s="20" t="s">
        <v>8</v>
      </c>
      <c r="E287" s="21">
        <v>250</v>
      </c>
      <c r="F287" s="24">
        <f>C287*E287</f>
        <v>97250</v>
      </c>
    </row>
    <row r="288" spans="1:6" x14ac:dyDescent="0.25">
      <c r="A288" s="6"/>
      <c r="B288" s="147"/>
      <c r="C288" s="8"/>
      <c r="D288" s="8"/>
      <c r="E288" s="9"/>
      <c r="F288" s="10"/>
    </row>
    <row r="289" spans="1:6" x14ac:dyDescent="0.25">
      <c r="A289" s="6"/>
      <c r="B289" s="148" t="s">
        <v>102</v>
      </c>
      <c r="C289" s="8"/>
      <c r="D289" s="8"/>
      <c r="E289" s="9"/>
      <c r="F289" s="10"/>
    </row>
    <row r="290" spans="1:6" x14ac:dyDescent="0.25">
      <c r="A290" s="6"/>
      <c r="B290" s="138"/>
      <c r="C290" s="8"/>
      <c r="D290" s="8"/>
      <c r="E290" s="9"/>
      <c r="F290" s="10"/>
    </row>
    <row r="291" spans="1:6" ht="26.25" x14ac:dyDescent="0.25">
      <c r="A291" s="6" t="s">
        <v>11</v>
      </c>
      <c r="B291" s="134" t="s">
        <v>103</v>
      </c>
      <c r="C291" s="8">
        <f>C281</f>
        <v>389</v>
      </c>
      <c r="D291" s="8" t="s">
        <v>8</v>
      </c>
      <c r="E291" s="9">
        <v>1200</v>
      </c>
      <c r="F291" s="10">
        <f>C291*E291</f>
        <v>466800</v>
      </c>
    </row>
    <row r="292" spans="1:6" x14ac:dyDescent="0.25">
      <c r="A292" s="6"/>
      <c r="B292" s="139"/>
      <c r="C292" s="8"/>
      <c r="D292" s="8"/>
      <c r="E292" s="9"/>
      <c r="F292" s="140"/>
    </row>
    <row r="293" spans="1:6" x14ac:dyDescent="0.25">
      <c r="A293" s="6"/>
      <c r="B293" s="149" t="s">
        <v>104</v>
      </c>
      <c r="C293" s="8"/>
      <c r="D293" s="8"/>
      <c r="E293" s="9"/>
      <c r="F293" s="140"/>
    </row>
    <row r="294" spans="1:6" x14ac:dyDescent="0.25">
      <c r="A294" s="6"/>
      <c r="B294" s="139"/>
      <c r="C294" s="8"/>
      <c r="D294" s="8"/>
      <c r="E294" s="9"/>
      <c r="F294" s="140"/>
    </row>
    <row r="295" spans="1:6" x14ac:dyDescent="0.25">
      <c r="A295" s="6" t="s">
        <v>12</v>
      </c>
      <c r="B295" s="133" t="s">
        <v>105</v>
      </c>
      <c r="C295" s="8">
        <v>211</v>
      </c>
      <c r="D295" s="8" t="s">
        <v>68</v>
      </c>
      <c r="E295" s="9">
        <v>800</v>
      </c>
      <c r="F295" s="143">
        <f>C295*E295</f>
        <v>168800</v>
      </c>
    </row>
    <row r="296" spans="1:6" x14ac:dyDescent="0.25">
      <c r="A296" s="6"/>
      <c r="B296" s="139"/>
      <c r="C296" s="8"/>
      <c r="D296" s="8"/>
      <c r="E296" s="9"/>
      <c r="F296" s="143"/>
    </row>
    <row r="297" spans="1:6" ht="15.75" thickBot="1" x14ac:dyDescent="0.3">
      <c r="A297" s="30"/>
      <c r="B297" s="150" t="s">
        <v>56</v>
      </c>
      <c r="C297" s="32"/>
      <c r="D297" s="32"/>
      <c r="E297" s="33"/>
      <c r="F297" s="34">
        <f>SUM(F279:F295)</f>
        <v>1051830</v>
      </c>
    </row>
    <row r="298" spans="1:6" x14ac:dyDescent="0.25">
      <c r="A298" s="6"/>
      <c r="B298" s="144"/>
      <c r="C298" s="8"/>
      <c r="D298" s="8"/>
      <c r="E298" s="9"/>
      <c r="F298" s="145"/>
    </row>
    <row r="299" spans="1:6" x14ac:dyDescent="0.25">
      <c r="A299" s="6"/>
      <c r="B299" s="11" t="s">
        <v>106</v>
      </c>
      <c r="C299" s="8"/>
      <c r="D299" s="8"/>
      <c r="E299" s="9"/>
      <c r="F299" s="145">
        <f>F274</f>
        <v>259570</v>
      </c>
    </row>
    <row r="300" spans="1:6" x14ac:dyDescent="0.25">
      <c r="A300" s="6"/>
      <c r="B300" s="29"/>
      <c r="C300" s="8"/>
      <c r="D300" s="8"/>
      <c r="E300" s="9"/>
      <c r="F300" s="145"/>
    </row>
    <row r="301" spans="1:6" x14ac:dyDescent="0.25">
      <c r="A301" s="6"/>
      <c r="B301" s="11" t="s">
        <v>107</v>
      </c>
      <c r="C301" s="8"/>
      <c r="D301" s="8"/>
      <c r="E301" s="9"/>
      <c r="F301" s="145">
        <f>F297</f>
        <v>1051830</v>
      </c>
    </row>
    <row r="302" spans="1:6" x14ac:dyDescent="0.25">
      <c r="A302" s="6"/>
      <c r="B302" s="144"/>
      <c r="C302" s="8"/>
      <c r="D302" s="8"/>
      <c r="E302" s="9"/>
      <c r="F302" s="145"/>
    </row>
    <row r="303" spans="1:6" x14ac:dyDescent="0.25">
      <c r="A303" s="6"/>
      <c r="B303" s="144"/>
      <c r="C303" s="8"/>
      <c r="D303" s="8"/>
      <c r="E303" s="9"/>
      <c r="F303" s="145"/>
    </row>
    <row r="304" spans="1:6" x14ac:dyDescent="0.25">
      <c r="A304" s="6"/>
      <c r="B304" s="144"/>
      <c r="C304" s="8"/>
      <c r="D304" s="8"/>
      <c r="E304" s="9"/>
      <c r="F304" s="145"/>
    </row>
    <row r="305" spans="1:6" x14ac:dyDescent="0.25">
      <c r="A305" s="6"/>
      <c r="B305" s="144"/>
      <c r="C305" s="8"/>
      <c r="D305" s="8"/>
      <c r="E305" s="9"/>
      <c r="F305" s="145"/>
    </row>
    <row r="306" spans="1:6" x14ac:dyDescent="0.25">
      <c r="A306" s="6"/>
      <c r="B306" s="144"/>
      <c r="C306" s="8"/>
      <c r="D306" s="8"/>
      <c r="E306" s="9"/>
      <c r="F306" s="145"/>
    </row>
    <row r="307" spans="1:6" x14ac:dyDescent="0.25">
      <c r="A307" s="6"/>
      <c r="B307" s="144"/>
      <c r="C307" s="8"/>
      <c r="D307" s="8"/>
      <c r="E307" s="9"/>
      <c r="F307" s="145"/>
    </row>
    <row r="308" spans="1:6" x14ac:dyDescent="0.25">
      <c r="A308" s="6"/>
      <c r="B308" s="144"/>
      <c r="C308" s="8"/>
      <c r="D308" s="8"/>
      <c r="E308" s="9"/>
      <c r="F308" s="145"/>
    </row>
    <row r="309" spans="1:6" x14ac:dyDescent="0.25">
      <c r="A309" s="6"/>
      <c r="B309" s="144"/>
      <c r="C309" s="8"/>
      <c r="D309" s="8"/>
      <c r="E309" s="9"/>
      <c r="F309" s="145"/>
    </row>
    <row r="310" spans="1:6" x14ac:dyDescent="0.25">
      <c r="A310" s="6"/>
      <c r="B310" s="144"/>
      <c r="C310" s="8"/>
      <c r="D310" s="8"/>
      <c r="E310" s="9"/>
      <c r="F310" s="145"/>
    </row>
    <row r="311" spans="1:6" x14ac:dyDescent="0.25">
      <c r="A311" s="6"/>
      <c r="B311" s="144"/>
      <c r="C311" s="8"/>
      <c r="D311" s="8"/>
      <c r="E311" s="9"/>
      <c r="F311" s="145"/>
    </row>
    <row r="312" spans="1:6" x14ac:dyDescent="0.25">
      <c r="A312" s="6"/>
      <c r="B312" s="144"/>
      <c r="C312" s="8"/>
      <c r="D312" s="8"/>
      <c r="E312" s="9"/>
      <c r="F312" s="145"/>
    </row>
    <row r="313" spans="1:6" x14ac:dyDescent="0.25">
      <c r="A313" s="6"/>
      <c r="B313" s="144"/>
      <c r="C313" s="8"/>
      <c r="D313" s="8"/>
      <c r="E313" s="9"/>
      <c r="F313" s="145"/>
    </row>
    <row r="314" spans="1:6" ht="26.25" thickBot="1" x14ac:dyDescent="0.3">
      <c r="A314" s="30"/>
      <c r="B314" s="31" t="s">
        <v>108</v>
      </c>
      <c r="C314" s="32"/>
      <c r="D314" s="32"/>
      <c r="E314" s="33"/>
      <c r="F314" s="34">
        <f>F301+F299</f>
        <v>1311400</v>
      </c>
    </row>
    <row r="315" spans="1:6" x14ac:dyDescent="0.25">
      <c r="A315" s="1" t="s">
        <v>87</v>
      </c>
      <c r="B315" s="2" t="s">
        <v>84</v>
      </c>
      <c r="C315" s="3" t="s">
        <v>13</v>
      </c>
      <c r="D315" s="3"/>
      <c r="E315" s="4"/>
      <c r="F315" s="5" t="s">
        <v>85</v>
      </c>
    </row>
    <row r="316" spans="1:6" x14ac:dyDescent="0.25">
      <c r="A316" s="6"/>
      <c r="B316" s="11"/>
      <c r="C316" s="8"/>
      <c r="D316" s="8"/>
      <c r="E316" s="9"/>
      <c r="F316" s="47"/>
    </row>
    <row r="317" spans="1:6" x14ac:dyDescent="0.25">
      <c r="A317" s="6"/>
      <c r="B317" s="135" t="s">
        <v>109</v>
      </c>
      <c r="C317" s="49"/>
      <c r="D317" s="8"/>
      <c r="E317" s="9"/>
      <c r="F317" s="47"/>
    </row>
    <row r="318" spans="1:6" x14ac:dyDescent="0.25">
      <c r="A318" s="6"/>
      <c r="B318" s="11"/>
      <c r="C318" s="8"/>
      <c r="D318" s="8"/>
      <c r="E318" s="9"/>
      <c r="F318" s="47"/>
    </row>
    <row r="319" spans="1:6" x14ac:dyDescent="0.25">
      <c r="A319" s="50">
        <v>1</v>
      </c>
      <c r="B319" s="136" t="s">
        <v>110</v>
      </c>
      <c r="C319" s="8">
        <v>8</v>
      </c>
      <c r="D319" s="8"/>
      <c r="E319" s="9"/>
      <c r="F319" s="47">
        <f>F314</f>
        <v>1311400</v>
      </c>
    </row>
    <row r="320" spans="1:6" x14ac:dyDescent="0.25">
      <c r="A320" s="52"/>
      <c r="B320" s="53"/>
      <c r="C320" s="8"/>
      <c r="D320" s="8"/>
      <c r="E320" s="9"/>
      <c r="F320" s="47"/>
    </row>
    <row r="321" spans="1:6" x14ac:dyDescent="0.25">
      <c r="A321" s="52"/>
      <c r="B321" s="53"/>
      <c r="C321" s="8"/>
      <c r="D321" s="8"/>
      <c r="E321" s="9"/>
      <c r="F321" s="47"/>
    </row>
    <row r="322" spans="1:6" x14ac:dyDescent="0.25">
      <c r="A322" s="50"/>
      <c r="B322" s="111"/>
      <c r="C322" s="8"/>
      <c r="D322" s="8"/>
      <c r="E322" s="9"/>
      <c r="F322" s="47"/>
    </row>
    <row r="323" spans="1:6" x14ac:dyDescent="0.25">
      <c r="A323" s="6"/>
      <c r="B323" s="11"/>
      <c r="C323" s="8"/>
      <c r="D323" s="8"/>
      <c r="E323" s="9"/>
      <c r="F323" s="47"/>
    </row>
    <row r="324" spans="1:6" x14ac:dyDescent="0.25">
      <c r="A324" s="6"/>
      <c r="B324" s="29"/>
      <c r="C324" s="8"/>
      <c r="D324" s="8"/>
      <c r="E324" s="9"/>
      <c r="F324" s="10"/>
    </row>
    <row r="325" spans="1:6" x14ac:dyDescent="0.25">
      <c r="A325" s="6"/>
      <c r="B325" s="29"/>
      <c r="C325" s="8"/>
      <c r="D325" s="8"/>
      <c r="E325" s="9"/>
      <c r="F325" s="10"/>
    </row>
    <row r="326" spans="1:6" x14ac:dyDescent="0.25">
      <c r="A326" s="6"/>
      <c r="B326" s="29"/>
      <c r="C326" s="8"/>
      <c r="D326" s="8"/>
      <c r="E326" s="9"/>
      <c r="F326" s="10"/>
    </row>
    <row r="327" spans="1:6" x14ac:dyDescent="0.25">
      <c r="A327" s="6"/>
      <c r="B327" s="29"/>
      <c r="C327" s="8"/>
      <c r="D327" s="8"/>
      <c r="E327" s="9"/>
      <c r="F327" s="10"/>
    </row>
    <row r="328" spans="1:6" x14ac:dyDescent="0.25">
      <c r="A328" s="6"/>
      <c r="B328" s="29"/>
      <c r="C328" s="8"/>
      <c r="D328" s="8"/>
      <c r="E328" s="9"/>
      <c r="F328" s="10"/>
    </row>
    <row r="329" spans="1:6" x14ac:dyDescent="0.25">
      <c r="A329" s="6"/>
      <c r="B329" s="29"/>
      <c r="C329" s="8"/>
      <c r="D329" s="8"/>
      <c r="E329" s="9"/>
      <c r="F329" s="10"/>
    </row>
    <row r="330" spans="1:6" x14ac:dyDescent="0.25">
      <c r="A330" s="6"/>
      <c r="B330" s="29"/>
      <c r="C330" s="8"/>
      <c r="D330" s="8"/>
      <c r="E330" s="9"/>
      <c r="F330" s="10"/>
    </row>
    <row r="331" spans="1:6" x14ac:dyDescent="0.25">
      <c r="A331" s="6"/>
      <c r="B331" s="29"/>
      <c r="C331" s="8"/>
      <c r="D331" s="8"/>
      <c r="E331" s="9"/>
      <c r="F331" s="10"/>
    </row>
    <row r="332" spans="1:6" x14ac:dyDescent="0.25">
      <c r="A332" s="6"/>
      <c r="B332" s="29"/>
      <c r="C332" s="8"/>
      <c r="D332" s="8"/>
      <c r="E332" s="9"/>
      <c r="F332" s="10"/>
    </row>
    <row r="333" spans="1:6" x14ac:dyDescent="0.25">
      <c r="A333" s="6"/>
      <c r="B333" s="29"/>
      <c r="C333" s="8"/>
      <c r="D333" s="8"/>
      <c r="E333" s="9"/>
      <c r="F333" s="10"/>
    </row>
    <row r="334" spans="1:6" x14ac:dyDescent="0.25">
      <c r="A334" s="6"/>
      <c r="B334" s="29"/>
      <c r="C334" s="8"/>
      <c r="D334" s="8"/>
      <c r="E334" s="9"/>
      <c r="F334" s="10"/>
    </row>
    <row r="335" spans="1:6" x14ac:dyDescent="0.25">
      <c r="A335" s="6"/>
      <c r="B335" s="29"/>
      <c r="C335" s="8"/>
      <c r="D335" s="8"/>
      <c r="E335" s="9"/>
      <c r="F335" s="10"/>
    </row>
    <row r="336" spans="1:6" x14ac:dyDescent="0.25">
      <c r="A336" s="6"/>
      <c r="B336" s="29"/>
      <c r="C336" s="8"/>
      <c r="D336" s="8"/>
      <c r="E336" s="9"/>
      <c r="F336" s="10"/>
    </row>
    <row r="337" spans="1:6" x14ac:dyDescent="0.25">
      <c r="A337" s="6"/>
      <c r="B337" s="29"/>
      <c r="C337" s="8"/>
      <c r="D337" s="8"/>
      <c r="E337" s="9"/>
      <c r="F337" s="10"/>
    </row>
    <row r="338" spans="1:6" x14ac:dyDescent="0.25">
      <c r="A338" s="6"/>
      <c r="B338" s="29"/>
      <c r="C338" s="8"/>
      <c r="D338" s="8"/>
      <c r="E338" s="9"/>
      <c r="F338" s="10"/>
    </row>
    <row r="339" spans="1:6" x14ac:dyDescent="0.25">
      <c r="A339" s="6"/>
      <c r="B339" s="29"/>
      <c r="C339" s="8"/>
      <c r="D339" s="8"/>
      <c r="E339" s="9"/>
      <c r="F339" s="10"/>
    </row>
    <row r="340" spans="1:6" x14ac:dyDescent="0.25">
      <c r="A340" s="6"/>
      <c r="B340" s="29"/>
      <c r="C340" s="8"/>
      <c r="D340" s="8"/>
      <c r="E340" s="9"/>
      <c r="F340" s="10"/>
    </row>
    <row r="341" spans="1:6" x14ac:dyDescent="0.25">
      <c r="A341" s="6"/>
      <c r="B341" s="29"/>
      <c r="C341" s="8"/>
      <c r="D341" s="8"/>
      <c r="E341" s="9"/>
      <c r="F341" s="10"/>
    </row>
    <row r="342" spans="1:6" x14ac:dyDescent="0.25">
      <c r="A342" s="6"/>
      <c r="B342" s="29"/>
      <c r="C342" s="8"/>
      <c r="D342" s="8"/>
      <c r="E342" s="9"/>
      <c r="F342" s="10"/>
    </row>
    <row r="343" spans="1:6" x14ac:dyDescent="0.25">
      <c r="A343" s="6"/>
      <c r="B343" s="29"/>
      <c r="C343" s="8"/>
      <c r="D343" s="8"/>
      <c r="E343" s="9"/>
      <c r="F343" s="10"/>
    </row>
    <row r="344" spans="1:6" x14ac:dyDescent="0.25">
      <c r="A344" s="6"/>
      <c r="B344" s="29"/>
      <c r="C344" s="8"/>
      <c r="D344" s="8"/>
      <c r="E344" s="9"/>
      <c r="F344" s="10"/>
    </row>
    <row r="345" spans="1:6" x14ac:dyDescent="0.25">
      <c r="A345" s="6"/>
      <c r="B345" s="29"/>
      <c r="C345" s="8"/>
      <c r="D345" s="8"/>
      <c r="E345" s="9"/>
      <c r="F345" s="10"/>
    </row>
    <row r="346" spans="1:6" x14ac:dyDescent="0.25">
      <c r="A346" s="6"/>
      <c r="B346" s="29"/>
      <c r="C346" s="8"/>
      <c r="D346" s="8"/>
      <c r="E346" s="9"/>
      <c r="F346" s="10"/>
    </row>
    <row r="347" spans="1:6" x14ac:dyDescent="0.25">
      <c r="A347" s="6"/>
      <c r="B347" s="29"/>
      <c r="C347" s="8"/>
      <c r="D347" s="8"/>
      <c r="E347" s="9"/>
      <c r="F347" s="10"/>
    </row>
    <row r="348" spans="1:6" x14ac:dyDescent="0.25">
      <c r="A348" s="6"/>
      <c r="B348" s="29"/>
      <c r="C348" s="8"/>
      <c r="D348" s="8"/>
      <c r="E348" s="9"/>
      <c r="F348" s="10"/>
    </row>
    <row r="349" spans="1:6" x14ac:dyDescent="0.25">
      <c r="A349" s="6"/>
      <c r="B349" s="29"/>
      <c r="C349" s="8"/>
      <c r="D349" s="8"/>
      <c r="E349" s="9"/>
      <c r="F349" s="10"/>
    </row>
    <row r="350" spans="1:6" x14ac:dyDescent="0.25">
      <c r="A350" s="6"/>
      <c r="B350" s="29"/>
      <c r="C350" s="8"/>
      <c r="D350" s="8"/>
      <c r="E350" s="9"/>
      <c r="F350" s="10"/>
    </row>
    <row r="351" spans="1:6" x14ac:dyDescent="0.25">
      <c r="A351" s="6"/>
      <c r="B351" s="29"/>
      <c r="C351" s="8"/>
      <c r="D351" s="8"/>
      <c r="E351" s="9"/>
      <c r="F351" s="10"/>
    </row>
    <row r="352" spans="1:6" x14ac:dyDescent="0.25">
      <c r="A352" s="6"/>
      <c r="B352" s="29"/>
      <c r="C352" s="8"/>
      <c r="D352" s="8"/>
      <c r="E352" s="9"/>
      <c r="F352" s="10"/>
    </row>
    <row r="353" spans="1:6" x14ac:dyDescent="0.25">
      <c r="A353" s="6"/>
      <c r="B353" s="29"/>
      <c r="C353" s="8"/>
      <c r="D353" s="8"/>
      <c r="E353" s="9"/>
      <c r="F353" s="10"/>
    </row>
    <row r="354" spans="1:6" x14ac:dyDescent="0.25">
      <c r="A354" s="6"/>
      <c r="B354" s="29"/>
      <c r="C354" s="8"/>
      <c r="D354" s="8"/>
      <c r="E354" s="9"/>
      <c r="F354" s="10"/>
    </row>
    <row r="355" spans="1:6" x14ac:dyDescent="0.25">
      <c r="A355" s="6"/>
      <c r="B355" s="29"/>
      <c r="C355" s="8"/>
      <c r="D355" s="8"/>
      <c r="E355" s="9"/>
      <c r="F355" s="10"/>
    </row>
    <row r="356" spans="1:6" x14ac:dyDescent="0.25">
      <c r="A356" s="6"/>
      <c r="B356" s="29"/>
      <c r="C356" s="8"/>
      <c r="D356" s="8"/>
      <c r="E356" s="9"/>
      <c r="F356" s="10"/>
    </row>
    <row r="357" spans="1:6" x14ac:dyDescent="0.25">
      <c r="A357" s="6"/>
      <c r="B357" s="29"/>
      <c r="C357" s="8"/>
      <c r="D357" s="8"/>
      <c r="E357" s="9"/>
      <c r="F357" s="10"/>
    </row>
    <row r="358" spans="1:6" x14ac:dyDescent="0.25">
      <c r="A358" s="6"/>
      <c r="B358" s="29"/>
      <c r="C358" s="8"/>
      <c r="D358" s="8"/>
      <c r="E358" s="9"/>
      <c r="F358" s="10"/>
    </row>
    <row r="359" spans="1:6" x14ac:dyDescent="0.25">
      <c r="A359" s="6"/>
      <c r="B359" s="29"/>
      <c r="C359" s="8"/>
      <c r="D359" s="8"/>
      <c r="E359" s="9"/>
      <c r="F359" s="10"/>
    </row>
    <row r="360" spans="1:6" ht="26.25" thickBot="1" x14ac:dyDescent="0.3">
      <c r="A360" s="30"/>
      <c r="B360" s="31" t="s">
        <v>313</v>
      </c>
      <c r="C360" s="32"/>
      <c r="D360" s="32"/>
      <c r="E360" s="32"/>
      <c r="F360" s="34">
        <f>SUM(F319:F322)</f>
        <v>1311400</v>
      </c>
    </row>
    <row r="361" spans="1:6" x14ac:dyDescent="0.25">
      <c r="A361" s="1" t="s">
        <v>0</v>
      </c>
      <c r="B361" s="2" t="s">
        <v>1</v>
      </c>
      <c r="C361" s="3" t="s">
        <v>2</v>
      </c>
      <c r="D361" s="3" t="s">
        <v>3</v>
      </c>
      <c r="E361" s="4" t="s">
        <v>4</v>
      </c>
      <c r="F361" s="5" t="s">
        <v>5</v>
      </c>
    </row>
    <row r="362" spans="1:6" x14ac:dyDescent="0.25">
      <c r="A362" s="6"/>
      <c r="B362" s="144"/>
      <c r="C362" s="8"/>
      <c r="D362" s="8"/>
      <c r="E362" s="9"/>
      <c r="F362" s="145"/>
    </row>
    <row r="363" spans="1:6" x14ac:dyDescent="0.25">
      <c r="A363" s="6"/>
      <c r="B363" s="151" t="s">
        <v>112</v>
      </c>
      <c r="C363" s="8"/>
      <c r="D363" s="8"/>
      <c r="E363" s="9"/>
      <c r="F363" s="145"/>
    </row>
    <row r="364" spans="1:6" x14ac:dyDescent="0.25">
      <c r="A364" s="6"/>
      <c r="B364" s="12"/>
      <c r="C364" s="49"/>
      <c r="D364" s="8"/>
      <c r="E364" s="9"/>
      <c r="F364" s="47"/>
    </row>
    <row r="365" spans="1:6" x14ac:dyDescent="0.25">
      <c r="A365" s="13"/>
      <c r="B365" s="14" t="s">
        <v>15</v>
      </c>
      <c r="C365" s="49"/>
      <c r="D365" s="8"/>
      <c r="E365" s="9"/>
      <c r="F365" s="47"/>
    </row>
    <row r="366" spans="1:6" x14ac:dyDescent="0.25">
      <c r="A366" s="6"/>
      <c r="B366" s="48"/>
      <c r="C366" s="49"/>
      <c r="D366" s="8"/>
      <c r="E366" s="9"/>
      <c r="F366" s="47"/>
    </row>
    <row r="367" spans="1:6" x14ac:dyDescent="0.25">
      <c r="A367" s="13"/>
      <c r="B367" s="137" t="s">
        <v>92</v>
      </c>
      <c r="C367" s="15"/>
      <c r="D367" s="15"/>
      <c r="E367" s="15"/>
      <c r="F367" s="16"/>
    </row>
    <row r="368" spans="1:6" x14ac:dyDescent="0.25">
      <c r="A368" s="6"/>
      <c r="B368" s="138"/>
      <c r="C368" s="8"/>
      <c r="D368" s="8"/>
      <c r="E368" s="9"/>
      <c r="F368" s="10"/>
    </row>
    <row r="369" spans="1:6" ht="39" x14ac:dyDescent="0.25">
      <c r="A369" s="6"/>
      <c r="B369" s="137" t="s">
        <v>17</v>
      </c>
      <c r="C369" s="8"/>
      <c r="D369" s="8"/>
      <c r="E369" s="9"/>
      <c r="F369" s="10"/>
    </row>
    <row r="370" spans="1:6" x14ac:dyDescent="0.25">
      <c r="A370" s="6"/>
      <c r="B370" s="12"/>
      <c r="C370" s="8"/>
      <c r="D370" s="8"/>
      <c r="E370" s="9"/>
      <c r="F370" s="10"/>
    </row>
    <row r="371" spans="1:6" ht="39" x14ac:dyDescent="0.25">
      <c r="A371" s="6" t="s">
        <v>7</v>
      </c>
      <c r="B371" s="138" t="s">
        <v>93</v>
      </c>
      <c r="C371" s="8">
        <v>93</v>
      </c>
      <c r="D371" s="8" t="s">
        <v>8</v>
      </c>
      <c r="E371" s="9">
        <v>80</v>
      </c>
      <c r="F371" s="10">
        <f>C371*E371</f>
        <v>7440</v>
      </c>
    </row>
    <row r="372" spans="1:6" x14ac:dyDescent="0.25">
      <c r="A372" s="6"/>
      <c r="B372" s="138"/>
      <c r="C372" s="8"/>
      <c r="D372" s="8"/>
      <c r="E372" s="9"/>
      <c r="F372" s="10"/>
    </row>
    <row r="373" spans="1:6" x14ac:dyDescent="0.25">
      <c r="A373" s="6"/>
      <c r="B373" s="137" t="s">
        <v>18</v>
      </c>
      <c r="C373" s="8"/>
      <c r="D373" s="8"/>
      <c r="E373" s="9"/>
      <c r="F373" s="10"/>
    </row>
    <row r="374" spans="1:6" x14ac:dyDescent="0.25">
      <c r="A374" s="6"/>
      <c r="B374" s="12"/>
      <c r="C374" s="8"/>
      <c r="D374" s="8"/>
      <c r="E374" s="9"/>
      <c r="F374" s="10"/>
    </row>
    <row r="375" spans="1:6" ht="26.25" x14ac:dyDescent="0.25">
      <c r="A375" s="6" t="s">
        <v>9</v>
      </c>
      <c r="B375" s="138" t="s">
        <v>19</v>
      </c>
      <c r="C375" s="8">
        <v>93</v>
      </c>
      <c r="D375" s="8" t="s">
        <v>8</v>
      </c>
      <c r="E375" s="9">
        <v>100</v>
      </c>
      <c r="F375" s="10">
        <f>C375*E375</f>
        <v>9300</v>
      </c>
    </row>
    <row r="376" spans="1:6" x14ac:dyDescent="0.25">
      <c r="A376" s="6"/>
      <c r="B376" s="137"/>
      <c r="C376" s="8"/>
      <c r="D376" s="8"/>
      <c r="E376" s="9"/>
      <c r="F376" s="10"/>
    </row>
    <row r="377" spans="1:6" x14ac:dyDescent="0.25">
      <c r="A377" s="18"/>
      <c r="B377" s="23" t="s">
        <v>20</v>
      </c>
      <c r="C377" s="20"/>
      <c r="D377" s="20"/>
      <c r="E377" s="21"/>
      <c r="F377" s="24"/>
    </row>
    <row r="378" spans="1:6" x14ac:dyDescent="0.25">
      <c r="A378" s="18"/>
      <c r="B378" s="23"/>
      <c r="C378" s="20"/>
      <c r="D378" s="20"/>
      <c r="E378" s="21"/>
      <c r="F378" s="24"/>
    </row>
    <row r="379" spans="1:6" ht="26.25" x14ac:dyDescent="0.25">
      <c r="A379" s="18"/>
      <c r="B379" s="119" t="s">
        <v>21</v>
      </c>
      <c r="C379" s="20"/>
      <c r="D379" s="20"/>
      <c r="E379" s="21"/>
      <c r="F379" s="24"/>
    </row>
    <row r="380" spans="1:6" x14ac:dyDescent="0.25">
      <c r="A380" s="18"/>
      <c r="B380" s="23"/>
      <c r="C380" s="20"/>
      <c r="D380" s="20"/>
      <c r="E380" s="21"/>
      <c r="F380" s="24"/>
    </row>
    <row r="381" spans="1:6" x14ac:dyDescent="0.25">
      <c r="A381" s="18"/>
      <c r="B381" s="23" t="s">
        <v>22</v>
      </c>
      <c r="C381" s="20"/>
      <c r="D381" s="20"/>
      <c r="E381" s="21"/>
      <c r="F381" s="24"/>
    </row>
    <row r="382" spans="1:6" x14ac:dyDescent="0.25">
      <c r="A382" s="18"/>
      <c r="B382" s="23"/>
      <c r="C382" s="20"/>
      <c r="D382" s="20"/>
      <c r="E382" s="21"/>
      <c r="F382" s="24"/>
    </row>
    <row r="383" spans="1:6" x14ac:dyDescent="0.25">
      <c r="A383" s="18" t="s">
        <v>10</v>
      </c>
      <c r="B383" s="25" t="s">
        <v>23</v>
      </c>
      <c r="C383" s="20">
        <v>93</v>
      </c>
      <c r="D383" s="20" t="s">
        <v>8</v>
      </c>
      <c r="E383" s="21">
        <v>250</v>
      </c>
      <c r="F383" s="24">
        <f>C383*E383</f>
        <v>23250</v>
      </c>
    </row>
    <row r="384" spans="1:6" x14ac:dyDescent="0.25">
      <c r="A384" s="6"/>
      <c r="B384" s="144"/>
      <c r="C384" s="8"/>
      <c r="D384" s="8"/>
      <c r="E384" s="9"/>
      <c r="F384" s="145"/>
    </row>
    <row r="385" spans="1:6" ht="39" x14ac:dyDescent="0.25">
      <c r="A385" s="18"/>
      <c r="B385" s="23" t="s">
        <v>113</v>
      </c>
      <c r="C385" s="20"/>
      <c r="D385" s="20"/>
      <c r="E385" s="21"/>
      <c r="F385" s="24"/>
    </row>
    <row r="386" spans="1:6" x14ac:dyDescent="0.25">
      <c r="A386" s="18"/>
      <c r="B386" s="25"/>
      <c r="C386" s="20"/>
      <c r="D386" s="20"/>
      <c r="E386" s="21"/>
      <c r="F386" s="24"/>
    </row>
    <row r="387" spans="1:6" x14ac:dyDescent="0.25">
      <c r="A387" s="18" t="s">
        <v>11</v>
      </c>
      <c r="B387" s="25" t="s">
        <v>24</v>
      </c>
      <c r="C387" s="20">
        <v>36</v>
      </c>
      <c r="D387" s="20" t="s">
        <v>25</v>
      </c>
      <c r="E387" s="21">
        <v>500</v>
      </c>
      <c r="F387" s="24">
        <f>C387*E387</f>
        <v>18000</v>
      </c>
    </row>
    <row r="388" spans="1:6" x14ac:dyDescent="0.25">
      <c r="A388" s="18"/>
      <c r="B388" s="25"/>
      <c r="C388" s="20"/>
      <c r="D388" s="20"/>
      <c r="E388" s="21"/>
      <c r="F388" s="24"/>
    </row>
    <row r="389" spans="1:6" ht="26.25" x14ac:dyDescent="0.25">
      <c r="A389" s="18"/>
      <c r="B389" s="23" t="s">
        <v>114</v>
      </c>
      <c r="C389" s="20"/>
      <c r="D389" s="20"/>
      <c r="E389" s="21"/>
      <c r="F389" s="24"/>
    </row>
    <row r="390" spans="1:6" x14ac:dyDescent="0.25">
      <c r="A390" s="18"/>
      <c r="B390" s="25"/>
      <c r="C390" s="20"/>
      <c r="D390" s="20"/>
      <c r="E390" s="21"/>
      <c r="F390" s="24"/>
    </row>
    <row r="391" spans="1:6" x14ac:dyDescent="0.25">
      <c r="A391" s="18" t="s">
        <v>12</v>
      </c>
      <c r="B391" s="25" t="s">
        <v>24</v>
      </c>
      <c r="C391" s="20">
        <v>12</v>
      </c>
      <c r="D391" s="20" t="s">
        <v>25</v>
      </c>
      <c r="E391" s="21">
        <v>500</v>
      </c>
      <c r="F391" s="24">
        <f>C391*E391</f>
        <v>6000</v>
      </c>
    </row>
    <row r="392" spans="1:6" x14ac:dyDescent="0.25">
      <c r="A392" s="18"/>
      <c r="B392" s="25"/>
      <c r="C392" s="20"/>
      <c r="D392" s="20"/>
      <c r="E392" s="21"/>
      <c r="F392" s="24"/>
    </row>
    <row r="393" spans="1:6" ht="26.25" x14ac:dyDescent="0.25">
      <c r="A393" s="18" t="s">
        <v>27</v>
      </c>
      <c r="B393" s="25" t="s">
        <v>28</v>
      </c>
      <c r="C393" s="20">
        <v>4</v>
      </c>
      <c r="D393" s="20" t="s">
        <v>25</v>
      </c>
      <c r="E393" s="21">
        <v>800</v>
      </c>
      <c r="F393" s="24">
        <f>C393*E393</f>
        <v>3200</v>
      </c>
    </row>
    <row r="394" spans="1:6" x14ac:dyDescent="0.25">
      <c r="A394" s="6"/>
      <c r="B394" s="144"/>
      <c r="C394" s="8"/>
      <c r="D394" s="8"/>
      <c r="E394" s="9"/>
      <c r="F394" s="145"/>
    </row>
    <row r="395" spans="1:6" x14ac:dyDescent="0.25">
      <c r="A395" s="6"/>
      <c r="B395" s="144"/>
      <c r="C395" s="8"/>
      <c r="D395" s="8"/>
      <c r="E395" s="9"/>
      <c r="F395" s="145"/>
    </row>
    <row r="396" spans="1:6" x14ac:dyDescent="0.25">
      <c r="A396" s="6"/>
      <c r="B396" s="144"/>
      <c r="C396" s="8"/>
      <c r="D396" s="8"/>
      <c r="E396" s="9"/>
      <c r="F396" s="145"/>
    </row>
    <row r="397" spans="1:6" x14ac:dyDescent="0.25">
      <c r="A397" s="6"/>
      <c r="B397" s="144"/>
      <c r="C397" s="8"/>
      <c r="D397" s="8"/>
      <c r="E397" s="9"/>
      <c r="F397" s="145"/>
    </row>
    <row r="398" spans="1:6" x14ac:dyDescent="0.25">
      <c r="A398" s="6"/>
      <c r="B398" s="144"/>
      <c r="C398" s="8"/>
      <c r="D398" s="8"/>
      <c r="E398" s="9"/>
      <c r="F398" s="145"/>
    </row>
    <row r="399" spans="1:6" ht="15.75" thickBot="1" x14ac:dyDescent="0.3">
      <c r="A399" s="30"/>
      <c r="B399" s="150" t="s">
        <v>56</v>
      </c>
      <c r="C399" s="32"/>
      <c r="D399" s="32"/>
      <c r="E399" s="33"/>
      <c r="F399" s="34">
        <f>SUM(F371:F393)</f>
        <v>67190</v>
      </c>
    </row>
    <row r="400" spans="1:6" x14ac:dyDescent="0.25">
      <c r="A400" s="1" t="s">
        <v>0</v>
      </c>
      <c r="B400" s="2" t="s">
        <v>1</v>
      </c>
      <c r="C400" s="3" t="s">
        <v>2</v>
      </c>
      <c r="D400" s="3" t="s">
        <v>3</v>
      </c>
      <c r="E400" s="4" t="s">
        <v>4</v>
      </c>
      <c r="F400" s="5" t="s">
        <v>5</v>
      </c>
    </row>
    <row r="401" spans="1:6" x14ac:dyDescent="0.25">
      <c r="A401" s="6"/>
      <c r="B401" s="144"/>
      <c r="C401" s="8"/>
      <c r="D401" s="8"/>
      <c r="E401" s="9"/>
      <c r="F401" s="145"/>
    </row>
    <row r="402" spans="1:6" x14ac:dyDescent="0.25">
      <c r="A402" s="18"/>
      <c r="B402" s="45" t="s">
        <v>30</v>
      </c>
      <c r="C402" s="20"/>
      <c r="D402" s="20"/>
      <c r="E402" s="21"/>
      <c r="F402" s="24"/>
    </row>
    <row r="403" spans="1:6" x14ac:dyDescent="0.25">
      <c r="A403" s="18"/>
      <c r="B403" s="43"/>
      <c r="C403" s="20"/>
      <c r="D403" s="20"/>
      <c r="E403" s="21"/>
      <c r="F403" s="24"/>
    </row>
    <row r="404" spans="1:6" ht="63.75" x14ac:dyDescent="0.25">
      <c r="A404" s="18" t="s">
        <v>7</v>
      </c>
      <c r="B404" s="44" t="s">
        <v>31</v>
      </c>
      <c r="C404" s="20">
        <v>45</v>
      </c>
      <c r="D404" s="20" t="s">
        <v>25</v>
      </c>
      <c r="E404" s="21">
        <v>200</v>
      </c>
      <c r="F404" s="24">
        <f>C404*E404</f>
        <v>9000</v>
      </c>
    </row>
    <row r="405" spans="1:6" x14ac:dyDescent="0.25">
      <c r="A405" s="18"/>
      <c r="B405" s="25"/>
      <c r="C405" s="20"/>
      <c r="D405" s="20"/>
      <c r="E405" s="21"/>
      <c r="F405" s="24"/>
    </row>
    <row r="406" spans="1:6" x14ac:dyDescent="0.25">
      <c r="A406" s="18"/>
      <c r="B406" s="45" t="s">
        <v>32</v>
      </c>
      <c r="C406" s="20"/>
      <c r="D406" s="20"/>
      <c r="E406" s="21"/>
      <c r="F406" s="24"/>
    </row>
    <row r="407" spans="1:6" x14ac:dyDescent="0.25">
      <c r="A407" s="18"/>
      <c r="B407" s="44"/>
      <c r="C407" s="20"/>
      <c r="D407" s="20"/>
      <c r="E407" s="21"/>
      <c r="F407" s="24"/>
    </row>
    <row r="408" spans="1:6" ht="25.5" x14ac:dyDescent="0.25">
      <c r="A408" s="18" t="s">
        <v>9</v>
      </c>
      <c r="B408" s="44" t="s">
        <v>33</v>
      </c>
      <c r="C408" s="20">
        <v>26</v>
      </c>
      <c r="D408" s="20" t="s">
        <v>25</v>
      </c>
      <c r="E408" s="21">
        <v>350</v>
      </c>
      <c r="F408" s="24">
        <f>C408*E408</f>
        <v>9100</v>
      </c>
    </row>
    <row r="409" spans="1:6" x14ac:dyDescent="0.25">
      <c r="A409" s="18"/>
      <c r="B409" s="44"/>
      <c r="C409" s="20"/>
      <c r="D409" s="20"/>
      <c r="E409" s="21"/>
      <c r="F409" s="24"/>
    </row>
    <row r="410" spans="1:6" x14ac:dyDescent="0.25">
      <c r="A410" s="18"/>
      <c r="B410" s="23" t="s">
        <v>34</v>
      </c>
      <c r="C410" s="20"/>
      <c r="D410" s="20"/>
      <c r="E410" s="21"/>
      <c r="F410" s="24"/>
    </row>
    <row r="411" spans="1:6" x14ac:dyDescent="0.25">
      <c r="A411" s="18"/>
      <c r="B411" s="25"/>
      <c r="C411" s="20"/>
      <c r="D411" s="20"/>
      <c r="E411" s="21"/>
      <c r="F411" s="24"/>
    </row>
    <row r="412" spans="1:6" ht="51.75" x14ac:dyDescent="0.25">
      <c r="A412" s="18" t="s">
        <v>10</v>
      </c>
      <c r="B412" s="121" t="s">
        <v>35</v>
      </c>
      <c r="C412" s="20"/>
      <c r="D412" s="20" t="s">
        <v>36</v>
      </c>
      <c r="E412" s="21">
        <v>15500</v>
      </c>
      <c r="F412" s="24">
        <f>E412</f>
        <v>15500</v>
      </c>
    </row>
    <row r="413" spans="1:6" x14ac:dyDescent="0.25">
      <c r="A413" s="18"/>
      <c r="B413" s="44"/>
      <c r="C413" s="20"/>
      <c r="D413" s="20"/>
      <c r="E413" s="21"/>
      <c r="F413" s="24"/>
    </row>
    <row r="414" spans="1:6" x14ac:dyDescent="0.25">
      <c r="A414" s="18"/>
      <c r="B414" s="23" t="s">
        <v>37</v>
      </c>
      <c r="C414" s="20"/>
      <c r="D414" s="20"/>
      <c r="E414" s="21"/>
      <c r="F414" s="24"/>
    </row>
    <row r="415" spans="1:6" x14ac:dyDescent="0.25">
      <c r="A415" s="18"/>
      <c r="B415" s="25"/>
      <c r="C415" s="20"/>
      <c r="D415" s="20"/>
      <c r="E415" s="21"/>
      <c r="F415" s="24"/>
    </row>
    <row r="416" spans="1:6" ht="39" x14ac:dyDescent="0.25">
      <c r="A416" s="18" t="s">
        <v>11</v>
      </c>
      <c r="B416" s="25" t="s">
        <v>38</v>
      </c>
      <c r="C416" s="20"/>
      <c r="D416" s="20" t="s">
        <v>36</v>
      </c>
      <c r="E416" s="21">
        <v>15500</v>
      </c>
      <c r="F416" s="24">
        <f>E416</f>
        <v>15500</v>
      </c>
    </row>
    <row r="417" spans="1:6" x14ac:dyDescent="0.25">
      <c r="A417" s="6"/>
      <c r="B417" s="144"/>
      <c r="C417" s="8"/>
      <c r="D417" s="8"/>
      <c r="E417" s="9"/>
      <c r="F417" s="145"/>
    </row>
    <row r="418" spans="1:6" x14ac:dyDescent="0.25">
      <c r="A418" s="18"/>
      <c r="B418" s="23" t="s">
        <v>115</v>
      </c>
      <c r="C418" s="20"/>
      <c r="D418" s="20"/>
      <c r="E418" s="21"/>
      <c r="F418" s="24"/>
    </row>
    <row r="419" spans="1:6" x14ac:dyDescent="0.25">
      <c r="A419" s="18"/>
      <c r="B419" s="25"/>
      <c r="C419" s="20"/>
      <c r="D419" s="20"/>
      <c r="E419" s="21"/>
      <c r="F419" s="24"/>
    </row>
    <row r="420" spans="1:6" x14ac:dyDescent="0.25">
      <c r="A420" s="18"/>
      <c r="B420" s="23" t="s">
        <v>116</v>
      </c>
      <c r="C420" s="20"/>
      <c r="D420" s="20"/>
      <c r="E420" s="21"/>
      <c r="F420" s="24"/>
    </row>
    <row r="421" spans="1:6" x14ac:dyDescent="0.25">
      <c r="A421" s="18"/>
      <c r="B421" s="23"/>
      <c r="C421" s="20"/>
      <c r="D421" s="20"/>
      <c r="E421" s="21"/>
      <c r="F421" s="24"/>
    </row>
    <row r="422" spans="1:6" x14ac:dyDescent="0.25">
      <c r="A422" s="18"/>
      <c r="B422" s="23" t="s">
        <v>125</v>
      </c>
      <c r="C422" s="20"/>
      <c r="D422" s="20"/>
      <c r="E422" s="21"/>
      <c r="F422" s="24"/>
    </row>
    <row r="423" spans="1:6" x14ac:dyDescent="0.25">
      <c r="A423" s="18"/>
      <c r="B423" s="23"/>
      <c r="C423" s="20"/>
      <c r="D423" s="20"/>
      <c r="E423" s="21"/>
      <c r="F423" s="24"/>
    </row>
    <row r="424" spans="1:6" x14ac:dyDescent="0.25">
      <c r="A424" s="18" t="s">
        <v>12</v>
      </c>
      <c r="B424" s="25" t="s">
        <v>117</v>
      </c>
      <c r="C424" s="20">
        <v>30</v>
      </c>
      <c r="D424" s="20" t="s">
        <v>8</v>
      </c>
      <c r="E424" s="21">
        <v>500</v>
      </c>
      <c r="F424" s="24">
        <f>C424*E424</f>
        <v>15000</v>
      </c>
    </row>
    <row r="425" spans="1:6" x14ac:dyDescent="0.25">
      <c r="A425" s="18"/>
      <c r="B425" s="119"/>
      <c r="C425" s="20"/>
      <c r="D425" s="20"/>
      <c r="E425" s="21"/>
      <c r="F425" s="24"/>
    </row>
    <row r="426" spans="1:6" x14ac:dyDescent="0.25">
      <c r="A426" s="18" t="s">
        <v>27</v>
      </c>
      <c r="B426" s="25" t="s">
        <v>118</v>
      </c>
      <c r="C426" s="20">
        <v>11</v>
      </c>
      <c r="D426" s="20" t="s">
        <v>8</v>
      </c>
      <c r="E426" s="21">
        <v>500</v>
      </c>
      <c r="F426" s="24">
        <f>C426*E426</f>
        <v>5500</v>
      </c>
    </row>
    <row r="427" spans="1:6" x14ac:dyDescent="0.25">
      <c r="A427" s="18"/>
      <c r="B427" s="119"/>
      <c r="C427" s="20"/>
      <c r="D427" s="20"/>
      <c r="E427" s="21"/>
      <c r="F427" s="24"/>
    </row>
    <row r="428" spans="1:6" ht="26.25" x14ac:dyDescent="0.25">
      <c r="A428" s="18"/>
      <c r="B428" s="23" t="s">
        <v>119</v>
      </c>
      <c r="C428" s="20"/>
      <c r="D428" s="20"/>
      <c r="E428" s="21"/>
      <c r="F428" s="24"/>
    </row>
    <row r="429" spans="1:6" x14ac:dyDescent="0.25">
      <c r="A429" s="18"/>
      <c r="B429" s="23"/>
      <c r="C429" s="20"/>
      <c r="D429" s="20"/>
      <c r="E429" s="21"/>
      <c r="F429" s="24"/>
    </row>
    <row r="430" spans="1:6" x14ac:dyDescent="0.25">
      <c r="A430" s="18" t="s">
        <v>61</v>
      </c>
      <c r="B430" s="25" t="s">
        <v>120</v>
      </c>
      <c r="C430" s="20">
        <v>6</v>
      </c>
      <c r="D430" s="20" t="s">
        <v>25</v>
      </c>
      <c r="E430" s="21">
        <v>13000</v>
      </c>
      <c r="F430" s="24">
        <f>C430*E430</f>
        <v>78000</v>
      </c>
    </row>
    <row r="431" spans="1:6" x14ac:dyDescent="0.25">
      <c r="A431" s="18"/>
      <c r="B431" s="25"/>
      <c r="C431" s="20"/>
      <c r="D431" s="20"/>
      <c r="E431" s="21"/>
      <c r="F431" s="24"/>
    </row>
    <row r="432" spans="1:6" x14ac:dyDescent="0.25">
      <c r="A432" s="18" t="s">
        <v>64</v>
      </c>
      <c r="B432" s="25" t="s">
        <v>118</v>
      </c>
      <c r="C432" s="20">
        <v>4</v>
      </c>
      <c r="D432" s="20" t="s">
        <v>25</v>
      </c>
      <c r="E432" s="21">
        <v>13000</v>
      </c>
      <c r="F432" s="24">
        <f>C432*E432</f>
        <v>52000</v>
      </c>
    </row>
    <row r="433" spans="1:6" x14ac:dyDescent="0.25">
      <c r="A433" s="18"/>
      <c r="B433" s="44"/>
      <c r="C433" s="20"/>
      <c r="D433" s="20"/>
      <c r="E433" s="21"/>
      <c r="F433" s="24"/>
    </row>
    <row r="434" spans="1:6" x14ac:dyDescent="0.25">
      <c r="A434" s="18" t="s">
        <v>121</v>
      </c>
      <c r="B434" s="25" t="s">
        <v>122</v>
      </c>
      <c r="C434" s="20">
        <v>1</v>
      </c>
      <c r="D434" s="20" t="s">
        <v>25</v>
      </c>
      <c r="E434" s="21">
        <v>13000</v>
      </c>
      <c r="F434" s="24">
        <f>C434*E434</f>
        <v>13000</v>
      </c>
    </row>
    <row r="435" spans="1:6" x14ac:dyDescent="0.25">
      <c r="A435" s="18"/>
      <c r="B435" s="25"/>
      <c r="C435" s="20"/>
      <c r="D435" s="20"/>
      <c r="E435" s="21"/>
      <c r="F435" s="24"/>
    </row>
    <row r="436" spans="1:6" x14ac:dyDescent="0.25">
      <c r="A436" s="18" t="s">
        <v>123</v>
      </c>
      <c r="B436" s="25" t="s">
        <v>124</v>
      </c>
      <c r="C436" s="20">
        <v>68</v>
      </c>
      <c r="D436" s="20" t="s">
        <v>8</v>
      </c>
      <c r="E436" s="21">
        <f>E434*0.1</f>
        <v>1300</v>
      </c>
      <c r="F436" s="24">
        <f>C436*E436</f>
        <v>88400</v>
      </c>
    </row>
    <row r="437" spans="1:6" x14ac:dyDescent="0.25">
      <c r="A437" s="6"/>
      <c r="B437" s="144"/>
      <c r="C437" s="8"/>
      <c r="D437" s="8"/>
      <c r="E437" s="9"/>
      <c r="F437" s="145"/>
    </row>
    <row r="438" spans="1:6" ht="15.75" thickBot="1" x14ac:dyDescent="0.3">
      <c r="A438" s="30"/>
      <c r="B438" s="150" t="s">
        <v>56</v>
      </c>
      <c r="C438" s="32"/>
      <c r="D438" s="32"/>
      <c r="E438" s="33"/>
      <c r="F438" s="34">
        <f>SUM(F404:F436)</f>
        <v>301000</v>
      </c>
    </row>
    <row r="439" spans="1:6" x14ac:dyDescent="0.25">
      <c r="A439" s="1" t="s">
        <v>0</v>
      </c>
      <c r="B439" s="2" t="s">
        <v>1</v>
      </c>
      <c r="C439" s="3" t="s">
        <v>2</v>
      </c>
      <c r="D439" s="3" t="s">
        <v>3</v>
      </c>
      <c r="E439" s="4" t="s">
        <v>4</v>
      </c>
      <c r="F439" s="5" t="s">
        <v>5</v>
      </c>
    </row>
    <row r="440" spans="1:6" x14ac:dyDescent="0.25">
      <c r="A440" s="6"/>
      <c r="B440" s="144"/>
      <c r="C440" s="8"/>
      <c r="D440" s="8"/>
      <c r="E440" s="9"/>
      <c r="F440" s="145"/>
    </row>
    <row r="441" spans="1:6" x14ac:dyDescent="0.25">
      <c r="A441" s="18"/>
      <c r="B441" s="23" t="s">
        <v>48</v>
      </c>
      <c r="C441" s="20"/>
      <c r="D441" s="20"/>
      <c r="E441" s="21"/>
      <c r="F441" s="24"/>
    </row>
    <row r="442" spans="1:6" x14ac:dyDescent="0.25">
      <c r="A442" s="18"/>
      <c r="B442" s="23"/>
      <c r="C442" s="20"/>
      <c r="D442" s="20"/>
      <c r="E442" s="21"/>
      <c r="F442" s="24"/>
    </row>
    <row r="443" spans="1:6" ht="77.25" x14ac:dyDescent="0.25">
      <c r="A443" s="18"/>
      <c r="B443" s="19" t="s">
        <v>49</v>
      </c>
      <c r="C443" s="20"/>
      <c r="D443" s="20"/>
      <c r="E443" s="21"/>
      <c r="F443" s="24"/>
    </row>
    <row r="444" spans="1:6" x14ac:dyDescent="0.25">
      <c r="A444" s="18"/>
      <c r="B444" s="25"/>
      <c r="C444" s="20"/>
      <c r="D444" s="20"/>
      <c r="E444" s="21"/>
      <c r="F444" s="24"/>
    </row>
    <row r="445" spans="1:6" x14ac:dyDescent="0.25">
      <c r="A445" s="18"/>
      <c r="B445" s="23" t="s">
        <v>120</v>
      </c>
      <c r="C445" s="20"/>
      <c r="D445" s="20"/>
      <c r="E445" s="21"/>
      <c r="F445" s="24"/>
    </row>
    <row r="446" spans="1:6" x14ac:dyDescent="0.25">
      <c r="A446" s="18"/>
      <c r="B446" s="23"/>
      <c r="C446" s="20"/>
      <c r="D446" s="20"/>
      <c r="E446" s="21"/>
      <c r="F446" s="24"/>
    </row>
    <row r="447" spans="1:6" x14ac:dyDescent="0.25">
      <c r="A447" s="18" t="s">
        <v>7</v>
      </c>
      <c r="B447" s="25" t="s">
        <v>50</v>
      </c>
      <c r="C447" s="20">
        <v>92</v>
      </c>
      <c r="D447" s="20" t="s">
        <v>51</v>
      </c>
      <c r="E447" s="21">
        <v>180</v>
      </c>
      <c r="F447" s="24">
        <f>C447*E447</f>
        <v>16560</v>
      </c>
    </row>
    <row r="448" spans="1:6" x14ac:dyDescent="0.25">
      <c r="A448" s="18"/>
      <c r="B448" s="23"/>
      <c r="C448" s="20"/>
      <c r="D448" s="20"/>
      <c r="E448" s="21"/>
      <c r="F448" s="24"/>
    </row>
    <row r="449" spans="1:6" x14ac:dyDescent="0.25">
      <c r="A449" s="18" t="s">
        <v>9</v>
      </c>
      <c r="B449" s="25" t="s">
        <v>126</v>
      </c>
      <c r="C449" s="20">
        <v>188</v>
      </c>
      <c r="D449" s="20" t="s">
        <v>51</v>
      </c>
      <c r="E449" s="21">
        <v>180</v>
      </c>
      <c r="F449" s="24">
        <f>C449*E449</f>
        <v>33840</v>
      </c>
    </row>
    <row r="450" spans="1:6" x14ac:dyDescent="0.25">
      <c r="A450" s="18"/>
      <c r="B450" s="25"/>
      <c r="C450" s="20"/>
      <c r="D450" s="20"/>
      <c r="E450" s="21"/>
      <c r="F450" s="24"/>
    </row>
    <row r="451" spans="1:6" x14ac:dyDescent="0.25">
      <c r="A451" s="18"/>
      <c r="B451" s="23" t="s">
        <v>118</v>
      </c>
      <c r="C451" s="20"/>
      <c r="D451" s="20"/>
      <c r="E451" s="21"/>
      <c r="F451" s="24"/>
    </row>
    <row r="452" spans="1:6" x14ac:dyDescent="0.25">
      <c r="A452" s="18"/>
      <c r="B452" s="23"/>
      <c r="C452" s="20"/>
      <c r="D452" s="20"/>
      <c r="E452" s="21"/>
      <c r="F452" s="24"/>
    </row>
    <row r="453" spans="1:6" x14ac:dyDescent="0.25">
      <c r="A453" s="18" t="s">
        <v>10</v>
      </c>
      <c r="B453" s="25" t="s">
        <v>134</v>
      </c>
      <c r="C453" s="20">
        <v>438</v>
      </c>
      <c r="D453" s="20" t="s">
        <v>51</v>
      </c>
      <c r="E453" s="21">
        <v>180</v>
      </c>
      <c r="F453" s="24">
        <f t="shared" ref="F453:F459" si="1">C453*E453</f>
        <v>78840</v>
      </c>
    </row>
    <row r="454" spans="1:6" x14ac:dyDescent="0.25">
      <c r="A454" s="18"/>
      <c r="B454" s="154"/>
      <c r="C454" s="20"/>
      <c r="D454" s="20"/>
      <c r="E454" s="21"/>
      <c r="F454" s="24"/>
    </row>
    <row r="455" spans="1:6" x14ac:dyDescent="0.25">
      <c r="A455" s="72"/>
      <c r="B455" s="23" t="s">
        <v>122</v>
      </c>
      <c r="C455" s="20"/>
      <c r="D455" s="20"/>
      <c r="E455" s="21"/>
      <c r="F455" s="24"/>
    </row>
    <row r="456" spans="1:6" x14ac:dyDescent="0.25">
      <c r="A456" s="18"/>
      <c r="B456" s="25"/>
      <c r="C456" s="20"/>
      <c r="D456" s="20"/>
      <c r="E456" s="21"/>
      <c r="F456" s="24"/>
    </row>
    <row r="457" spans="1:6" x14ac:dyDescent="0.25">
      <c r="A457" s="18" t="s">
        <v>11</v>
      </c>
      <c r="B457" s="25" t="s">
        <v>127</v>
      </c>
      <c r="C457" s="20">
        <v>62</v>
      </c>
      <c r="D457" s="20" t="s">
        <v>51</v>
      </c>
      <c r="E457" s="21">
        <v>180</v>
      </c>
      <c r="F457" s="24">
        <f t="shared" si="1"/>
        <v>11160</v>
      </c>
    </row>
    <row r="458" spans="1:6" x14ac:dyDescent="0.25">
      <c r="A458" s="18"/>
      <c r="B458" s="25"/>
      <c r="C458" s="20"/>
      <c r="D458" s="20"/>
      <c r="E458" s="21"/>
      <c r="F458" s="24"/>
    </row>
    <row r="459" spans="1:6" x14ac:dyDescent="0.25">
      <c r="A459" s="18" t="s">
        <v>12</v>
      </c>
      <c r="B459" s="25" t="s">
        <v>52</v>
      </c>
      <c r="C459" s="20">
        <v>199</v>
      </c>
      <c r="D459" s="20" t="s">
        <v>51</v>
      </c>
      <c r="E459" s="21">
        <v>180</v>
      </c>
      <c r="F459" s="24">
        <f t="shared" si="1"/>
        <v>35820</v>
      </c>
    </row>
    <row r="460" spans="1:6" x14ac:dyDescent="0.25">
      <c r="A460" s="18"/>
      <c r="B460" s="23"/>
      <c r="C460" s="20"/>
      <c r="D460" s="20"/>
      <c r="E460" s="21"/>
      <c r="F460" s="24"/>
    </row>
    <row r="461" spans="1:6" x14ac:dyDescent="0.25">
      <c r="A461" s="18"/>
      <c r="B461" s="23" t="s">
        <v>128</v>
      </c>
      <c r="C461" s="20"/>
      <c r="D461" s="20"/>
      <c r="E461" s="21"/>
      <c r="F461" s="24"/>
    </row>
    <row r="462" spans="1:6" x14ac:dyDescent="0.25">
      <c r="A462" s="18"/>
      <c r="B462" s="23"/>
      <c r="C462" s="20"/>
      <c r="D462" s="20"/>
      <c r="E462" s="21"/>
      <c r="F462" s="24"/>
    </row>
    <row r="463" spans="1:6" ht="64.5" x14ac:dyDescent="0.25">
      <c r="A463" s="18" t="s">
        <v>27</v>
      </c>
      <c r="B463" s="25" t="s">
        <v>129</v>
      </c>
      <c r="C463" s="20">
        <v>68</v>
      </c>
      <c r="D463" s="20" t="s">
        <v>8</v>
      </c>
      <c r="E463" s="21">
        <v>490</v>
      </c>
      <c r="F463" s="24">
        <f>C463*E463</f>
        <v>33320</v>
      </c>
    </row>
    <row r="464" spans="1:6" x14ac:dyDescent="0.25">
      <c r="A464" s="18"/>
      <c r="B464" s="23"/>
      <c r="C464" s="20"/>
      <c r="D464" s="20"/>
      <c r="E464" s="21"/>
      <c r="F464" s="24"/>
    </row>
    <row r="465" spans="1:6" x14ac:dyDescent="0.25">
      <c r="A465" s="72"/>
      <c r="B465" s="23" t="s">
        <v>130</v>
      </c>
      <c r="C465" s="20"/>
      <c r="D465" s="20"/>
      <c r="E465" s="81"/>
      <c r="F465" s="24"/>
    </row>
    <row r="466" spans="1:6" x14ac:dyDescent="0.25">
      <c r="A466" s="72"/>
      <c r="B466" s="25"/>
      <c r="C466" s="20"/>
      <c r="D466" s="20"/>
      <c r="E466" s="81"/>
      <c r="F466" s="24"/>
    </row>
    <row r="467" spans="1:6" x14ac:dyDescent="0.25">
      <c r="A467" s="72"/>
      <c r="B467" s="23" t="s">
        <v>135</v>
      </c>
      <c r="C467" s="20"/>
      <c r="D467" s="20"/>
      <c r="E467" s="81"/>
      <c r="F467" s="24"/>
    </row>
    <row r="468" spans="1:6" x14ac:dyDescent="0.25">
      <c r="A468" s="72"/>
      <c r="B468" s="155"/>
      <c r="C468" s="20"/>
      <c r="D468" s="20"/>
      <c r="E468" s="81"/>
      <c r="F468" s="24"/>
    </row>
    <row r="469" spans="1:6" x14ac:dyDescent="0.25">
      <c r="A469" s="18" t="s">
        <v>61</v>
      </c>
      <c r="B469" s="25" t="s">
        <v>132</v>
      </c>
      <c r="C469" s="20">
        <v>12</v>
      </c>
      <c r="D469" s="20" t="s">
        <v>8</v>
      </c>
      <c r="E469" s="21">
        <v>550</v>
      </c>
      <c r="F469" s="24">
        <f>C469*E469</f>
        <v>6600</v>
      </c>
    </row>
    <row r="470" spans="1:6" x14ac:dyDescent="0.25">
      <c r="A470" s="72"/>
      <c r="B470" s="155"/>
      <c r="C470" s="20"/>
      <c r="D470" s="20"/>
      <c r="E470" s="81"/>
      <c r="F470" s="24"/>
    </row>
    <row r="471" spans="1:6" x14ac:dyDescent="0.25">
      <c r="A471" s="18" t="s">
        <v>64</v>
      </c>
      <c r="B471" s="25" t="s">
        <v>133</v>
      </c>
      <c r="C471" s="20">
        <v>36</v>
      </c>
      <c r="D471" s="20" t="s">
        <v>68</v>
      </c>
      <c r="E471" s="21">
        <v>150</v>
      </c>
      <c r="F471" s="24">
        <f>C471*E471</f>
        <v>5400</v>
      </c>
    </row>
    <row r="472" spans="1:6" x14ac:dyDescent="0.25">
      <c r="A472" s="18"/>
      <c r="B472" s="44"/>
      <c r="C472" s="20"/>
      <c r="D472" s="20"/>
      <c r="E472" s="21"/>
      <c r="F472" s="24"/>
    </row>
    <row r="473" spans="1:6" x14ac:dyDescent="0.25">
      <c r="A473" s="18"/>
      <c r="B473" s="44"/>
      <c r="C473" s="20"/>
      <c r="D473" s="20"/>
      <c r="E473" s="21"/>
      <c r="F473" s="24"/>
    </row>
    <row r="474" spans="1:6" x14ac:dyDescent="0.25">
      <c r="A474" s="18"/>
      <c r="B474" s="44"/>
      <c r="C474" s="20"/>
      <c r="D474" s="20"/>
      <c r="E474" s="21"/>
      <c r="F474" s="24"/>
    </row>
    <row r="475" spans="1:6" x14ac:dyDescent="0.25">
      <c r="A475" s="18"/>
      <c r="B475" s="44"/>
      <c r="C475" s="20"/>
      <c r="D475" s="20"/>
      <c r="E475" s="21"/>
      <c r="F475" s="24"/>
    </row>
    <row r="476" spans="1:6" x14ac:dyDescent="0.25">
      <c r="A476" s="18"/>
      <c r="B476" s="44"/>
      <c r="C476" s="20"/>
      <c r="D476" s="20"/>
      <c r="E476" s="21"/>
      <c r="F476" s="24"/>
    </row>
    <row r="477" spans="1:6" ht="15.75" thickBot="1" x14ac:dyDescent="0.3">
      <c r="A477" s="100"/>
      <c r="B477" s="101" t="s">
        <v>56</v>
      </c>
      <c r="C477" s="102"/>
      <c r="D477" s="102"/>
      <c r="E477" s="103"/>
      <c r="F477" s="104">
        <f>SUM(F447:F471)</f>
        <v>221540</v>
      </c>
    </row>
    <row r="478" spans="1:6" x14ac:dyDescent="0.25">
      <c r="A478" s="1" t="s">
        <v>0</v>
      </c>
      <c r="B478" s="2" t="s">
        <v>1</v>
      </c>
      <c r="C478" s="3" t="s">
        <v>2</v>
      </c>
      <c r="D478" s="3" t="s">
        <v>3</v>
      </c>
      <c r="E478" s="4" t="s">
        <v>4</v>
      </c>
      <c r="F478" s="5" t="s">
        <v>5</v>
      </c>
    </row>
    <row r="479" spans="1:6" x14ac:dyDescent="0.25">
      <c r="A479" s="6"/>
      <c r="B479" s="144"/>
      <c r="C479" s="8"/>
      <c r="D479" s="8"/>
      <c r="E479" s="9"/>
      <c r="F479" s="145"/>
    </row>
    <row r="480" spans="1:6" x14ac:dyDescent="0.25">
      <c r="A480" s="72"/>
      <c r="B480" s="23" t="s">
        <v>136</v>
      </c>
      <c r="C480" s="20"/>
      <c r="D480" s="20"/>
      <c r="E480" s="81"/>
      <c r="F480" s="24"/>
    </row>
    <row r="481" spans="1:6" x14ac:dyDescent="0.25">
      <c r="A481" s="72"/>
      <c r="B481" s="25"/>
      <c r="C481" s="20"/>
      <c r="D481" s="20"/>
      <c r="E481" s="81"/>
      <c r="F481" s="24"/>
    </row>
    <row r="482" spans="1:6" ht="64.5" x14ac:dyDescent="0.25">
      <c r="A482" s="72"/>
      <c r="B482" s="154" t="s">
        <v>137</v>
      </c>
      <c r="C482" s="20"/>
      <c r="D482" s="20"/>
      <c r="E482" s="81"/>
      <c r="F482" s="24"/>
    </row>
    <row r="483" spans="1:6" x14ac:dyDescent="0.25">
      <c r="A483" s="72"/>
      <c r="B483" s="132"/>
      <c r="C483" s="20"/>
      <c r="D483" s="20"/>
      <c r="E483" s="81"/>
      <c r="F483" s="24"/>
    </row>
    <row r="484" spans="1:6" x14ac:dyDescent="0.25">
      <c r="A484" s="18" t="s">
        <v>7</v>
      </c>
      <c r="B484" s="132" t="s">
        <v>138</v>
      </c>
      <c r="C484" s="20">
        <v>66</v>
      </c>
      <c r="D484" s="20" t="s">
        <v>8</v>
      </c>
      <c r="E484" s="21">
        <v>1800</v>
      </c>
      <c r="F484" s="24">
        <f>C484*E484</f>
        <v>118800</v>
      </c>
    </row>
    <row r="485" spans="1:6" x14ac:dyDescent="0.25">
      <c r="A485" s="18"/>
      <c r="B485" s="44"/>
      <c r="C485" s="20"/>
      <c r="D485" s="20"/>
      <c r="E485" s="21"/>
      <c r="F485" s="24"/>
    </row>
    <row r="486" spans="1:6" x14ac:dyDescent="0.25">
      <c r="A486" s="72"/>
      <c r="B486" s="23" t="s">
        <v>39</v>
      </c>
      <c r="C486" s="20"/>
      <c r="D486" s="20"/>
      <c r="E486" s="21"/>
      <c r="F486" s="24"/>
    </row>
    <row r="487" spans="1:6" x14ac:dyDescent="0.25">
      <c r="A487" s="72"/>
      <c r="B487" s="25"/>
      <c r="C487" s="20"/>
      <c r="D487" s="20"/>
      <c r="E487" s="21"/>
      <c r="F487" s="24"/>
    </row>
    <row r="488" spans="1:6" x14ac:dyDescent="0.25">
      <c r="A488" s="72"/>
      <c r="B488" s="23" t="s">
        <v>40</v>
      </c>
      <c r="C488" s="20"/>
      <c r="D488" s="20"/>
      <c r="E488" s="21"/>
      <c r="F488" s="24"/>
    </row>
    <row r="489" spans="1:6" x14ac:dyDescent="0.25">
      <c r="A489" s="72"/>
      <c r="B489" s="25"/>
      <c r="C489" s="20"/>
      <c r="D489" s="20"/>
      <c r="E489" s="21"/>
      <c r="F489" s="24"/>
    </row>
    <row r="490" spans="1:6" ht="51.75" x14ac:dyDescent="0.25">
      <c r="A490" s="18" t="s">
        <v>9</v>
      </c>
      <c r="B490" s="25" t="s">
        <v>139</v>
      </c>
      <c r="C490" s="20">
        <v>59</v>
      </c>
      <c r="D490" s="20" t="s">
        <v>8</v>
      </c>
      <c r="E490" s="21">
        <v>520</v>
      </c>
      <c r="F490" s="24">
        <f>C490*E490</f>
        <v>30680</v>
      </c>
    </row>
    <row r="491" spans="1:6" x14ac:dyDescent="0.25">
      <c r="A491" s="18"/>
      <c r="B491" s="25"/>
      <c r="C491" s="20"/>
      <c r="D491" s="20"/>
      <c r="E491" s="21"/>
      <c r="F491" s="24"/>
    </row>
    <row r="492" spans="1:6" x14ac:dyDescent="0.25">
      <c r="A492" s="18"/>
      <c r="B492" s="23" t="s">
        <v>41</v>
      </c>
      <c r="C492" s="20"/>
      <c r="D492" s="20"/>
      <c r="E492" s="21"/>
      <c r="F492" s="24"/>
    </row>
    <row r="493" spans="1:6" x14ac:dyDescent="0.25">
      <c r="A493" s="18"/>
      <c r="B493" s="25"/>
      <c r="C493" s="20"/>
      <c r="D493" s="20"/>
      <c r="E493" s="21"/>
      <c r="F493" s="24"/>
    </row>
    <row r="494" spans="1:6" ht="26.25" x14ac:dyDescent="0.25">
      <c r="A494" s="18" t="s">
        <v>10</v>
      </c>
      <c r="B494" s="25" t="s">
        <v>42</v>
      </c>
      <c r="C494" s="20">
        <f>C490</f>
        <v>59</v>
      </c>
      <c r="D494" s="20" t="s">
        <v>8</v>
      </c>
      <c r="E494" s="21">
        <v>150</v>
      </c>
      <c r="F494" s="24">
        <f>C494*E494</f>
        <v>8850</v>
      </c>
    </row>
    <row r="495" spans="1:6" x14ac:dyDescent="0.25">
      <c r="A495" s="18"/>
      <c r="B495" s="44"/>
      <c r="C495" s="20"/>
      <c r="D495" s="20"/>
      <c r="E495" s="21"/>
      <c r="F495" s="24"/>
    </row>
    <row r="496" spans="1:6" x14ac:dyDescent="0.25">
      <c r="A496" s="18"/>
      <c r="B496" s="23" t="s">
        <v>99</v>
      </c>
      <c r="C496" s="20"/>
      <c r="D496" s="20"/>
      <c r="E496" s="21"/>
      <c r="F496" s="24"/>
    </row>
    <row r="497" spans="1:6" x14ac:dyDescent="0.25">
      <c r="A497" s="18"/>
      <c r="B497" s="119"/>
      <c r="C497" s="20"/>
      <c r="D497" s="20"/>
      <c r="E497" s="21"/>
      <c r="F497" s="24"/>
    </row>
    <row r="498" spans="1:6" ht="64.5" x14ac:dyDescent="0.25">
      <c r="A498" s="18"/>
      <c r="B498" s="23" t="s">
        <v>100</v>
      </c>
      <c r="C498" s="20"/>
      <c r="D498" s="20"/>
      <c r="E498" s="21"/>
      <c r="F498" s="24"/>
    </row>
    <row r="499" spans="1:6" x14ac:dyDescent="0.25">
      <c r="A499" s="18"/>
      <c r="B499" s="25"/>
      <c r="C499" s="20"/>
      <c r="D499" s="20"/>
      <c r="E499" s="21"/>
      <c r="F499" s="24"/>
    </row>
    <row r="500" spans="1:6" ht="26.25" x14ac:dyDescent="0.25">
      <c r="A500" s="18" t="s">
        <v>11</v>
      </c>
      <c r="B500" s="25" t="s">
        <v>140</v>
      </c>
      <c r="C500" s="20">
        <v>68</v>
      </c>
      <c r="D500" s="20" t="s">
        <v>8</v>
      </c>
      <c r="E500" s="21">
        <v>250</v>
      </c>
      <c r="F500" s="24">
        <f>C500*E500</f>
        <v>17000</v>
      </c>
    </row>
    <row r="501" spans="1:6" x14ac:dyDescent="0.25">
      <c r="A501" s="18"/>
      <c r="B501" s="43"/>
      <c r="C501" s="20"/>
      <c r="D501" s="20"/>
      <c r="E501" s="21"/>
      <c r="F501" s="24"/>
    </row>
    <row r="502" spans="1:6" x14ac:dyDescent="0.25">
      <c r="A502" s="18"/>
      <c r="B502" s="23" t="s">
        <v>43</v>
      </c>
      <c r="C502" s="20"/>
      <c r="D502" s="20"/>
      <c r="E502" s="21"/>
      <c r="F502" s="24"/>
    </row>
    <row r="503" spans="1:6" x14ac:dyDescent="0.25">
      <c r="A503" s="18"/>
      <c r="B503" s="25"/>
      <c r="C503" s="20"/>
      <c r="D503" s="20"/>
      <c r="E503" s="21"/>
      <c r="F503" s="24"/>
    </row>
    <row r="504" spans="1:6" ht="26.25" x14ac:dyDescent="0.25">
      <c r="A504" s="18"/>
      <c r="B504" s="23" t="s">
        <v>44</v>
      </c>
      <c r="C504" s="20"/>
      <c r="D504" s="20"/>
      <c r="E504" s="21"/>
      <c r="F504" s="24"/>
    </row>
    <row r="505" spans="1:6" x14ac:dyDescent="0.25">
      <c r="A505" s="18"/>
      <c r="B505" s="25"/>
      <c r="C505" s="20"/>
      <c r="D505" s="20"/>
      <c r="E505" s="21"/>
      <c r="F505" s="24"/>
    </row>
    <row r="506" spans="1:6" ht="26.25" x14ac:dyDescent="0.25">
      <c r="A506" s="18" t="s">
        <v>12</v>
      </c>
      <c r="B506" s="25" t="s">
        <v>45</v>
      </c>
      <c r="C506" s="20">
        <f>C500</f>
        <v>68</v>
      </c>
      <c r="D506" s="20" t="s">
        <v>8</v>
      </c>
      <c r="E506" s="21">
        <v>250</v>
      </c>
      <c r="F506" s="24">
        <f>C506*E506</f>
        <v>17000</v>
      </c>
    </row>
    <row r="507" spans="1:6" x14ac:dyDescent="0.25">
      <c r="A507" s="73"/>
      <c r="B507" s="153"/>
      <c r="C507" s="74"/>
      <c r="D507" s="74"/>
      <c r="E507" s="75"/>
      <c r="F507" s="76"/>
    </row>
    <row r="508" spans="1:6" x14ac:dyDescent="0.25">
      <c r="A508" s="73"/>
      <c r="B508" s="153"/>
      <c r="C508" s="74"/>
      <c r="D508" s="74"/>
      <c r="E508" s="75"/>
      <c r="F508" s="76"/>
    </row>
    <row r="509" spans="1:6" x14ac:dyDescent="0.25">
      <c r="A509" s="73"/>
      <c r="B509" s="153"/>
      <c r="C509" s="74"/>
      <c r="D509" s="74"/>
      <c r="E509" s="75"/>
      <c r="F509" s="76"/>
    </row>
    <row r="510" spans="1:6" x14ac:dyDescent="0.25">
      <c r="A510" s="73"/>
      <c r="B510" s="153"/>
      <c r="C510" s="74"/>
      <c r="D510" s="74"/>
      <c r="E510" s="75"/>
      <c r="F510" s="76"/>
    </row>
    <row r="511" spans="1:6" ht="15.75" thickBot="1" x14ac:dyDescent="0.3">
      <c r="A511" s="100"/>
      <c r="B511" s="101" t="s">
        <v>56</v>
      </c>
      <c r="C511" s="102"/>
      <c r="D511" s="102"/>
      <c r="E511" s="103"/>
      <c r="F511" s="104">
        <f>SUM(F484:F506)</f>
        <v>192330</v>
      </c>
    </row>
    <row r="512" spans="1:6" x14ac:dyDescent="0.25">
      <c r="A512" s="1" t="s">
        <v>0</v>
      </c>
      <c r="B512" s="2" t="s">
        <v>1</v>
      </c>
      <c r="C512" s="3" t="s">
        <v>2</v>
      </c>
      <c r="D512" s="3" t="s">
        <v>3</v>
      </c>
      <c r="E512" s="4" t="s">
        <v>4</v>
      </c>
      <c r="F512" s="5" t="s">
        <v>5</v>
      </c>
    </row>
    <row r="513" spans="1:6" x14ac:dyDescent="0.25">
      <c r="A513" s="73"/>
      <c r="B513" s="156"/>
      <c r="C513" s="74"/>
      <c r="D513" s="74"/>
      <c r="E513" s="75"/>
      <c r="F513" s="76"/>
    </row>
    <row r="514" spans="1:6" x14ac:dyDescent="0.25">
      <c r="A514" s="72"/>
      <c r="B514" s="23" t="s">
        <v>141</v>
      </c>
      <c r="C514" s="20"/>
      <c r="D514" s="20"/>
      <c r="E514" s="81"/>
      <c r="F514" s="24"/>
    </row>
    <row r="515" spans="1:6" x14ac:dyDescent="0.25">
      <c r="A515" s="72"/>
      <c r="B515" s="25"/>
      <c r="C515" s="20"/>
      <c r="D515" s="20"/>
      <c r="E515" s="81"/>
      <c r="F515" s="24"/>
    </row>
    <row r="516" spans="1:6" ht="26.25" x14ac:dyDescent="0.25">
      <c r="A516" s="72"/>
      <c r="B516" s="23" t="s">
        <v>142</v>
      </c>
      <c r="C516" s="20"/>
      <c r="D516" s="20"/>
      <c r="E516" s="81"/>
      <c r="F516" s="24"/>
    </row>
    <row r="517" spans="1:6" x14ac:dyDescent="0.25">
      <c r="A517" s="72"/>
      <c r="B517" s="25"/>
      <c r="C517" s="20"/>
      <c r="D517" s="20"/>
      <c r="E517" s="81"/>
      <c r="F517" s="24"/>
    </row>
    <row r="518" spans="1:6" ht="26.25" x14ac:dyDescent="0.25">
      <c r="A518" s="18" t="s">
        <v>7</v>
      </c>
      <c r="B518" s="25" t="s">
        <v>143</v>
      </c>
      <c r="C518" s="20">
        <v>4</v>
      </c>
      <c r="D518" s="20" t="s">
        <v>8</v>
      </c>
      <c r="E518" s="81">
        <v>400</v>
      </c>
      <c r="F518" s="24">
        <f>C518*E518</f>
        <v>1600</v>
      </c>
    </row>
    <row r="519" spans="1:6" x14ac:dyDescent="0.25">
      <c r="A519" s="18"/>
      <c r="B519" s="25"/>
      <c r="C519" s="20"/>
      <c r="D519" s="20"/>
      <c r="E519" s="81"/>
      <c r="F519" s="24"/>
    </row>
    <row r="520" spans="1:6" ht="39" x14ac:dyDescent="0.25">
      <c r="A520" s="18"/>
      <c r="B520" s="23" t="s">
        <v>144</v>
      </c>
      <c r="C520" s="20"/>
      <c r="D520" s="20"/>
      <c r="E520" s="81"/>
      <c r="F520" s="24"/>
    </row>
    <row r="521" spans="1:6" x14ac:dyDescent="0.25">
      <c r="A521" s="18"/>
      <c r="B521" s="25"/>
      <c r="C521" s="20"/>
      <c r="D521" s="20"/>
      <c r="E521" s="81"/>
      <c r="F521" s="24"/>
    </row>
    <row r="522" spans="1:6" x14ac:dyDescent="0.25">
      <c r="A522" s="18" t="s">
        <v>9</v>
      </c>
      <c r="B522" s="25" t="s">
        <v>145</v>
      </c>
      <c r="C522" s="20">
        <v>4</v>
      </c>
      <c r="D522" s="20" t="s">
        <v>8</v>
      </c>
      <c r="E522" s="81">
        <v>350</v>
      </c>
      <c r="F522" s="24">
        <f>C522*E522</f>
        <v>1400</v>
      </c>
    </row>
    <row r="523" spans="1:6" x14ac:dyDescent="0.25">
      <c r="A523" s="18"/>
      <c r="B523" s="25"/>
      <c r="C523" s="20"/>
      <c r="D523" s="20"/>
      <c r="E523" s="21"/>
      <c r="F523" s="24"/>
    </row>
    <row r="524" spans="1:6" ht="15.75" thickBot="1" x14ac:dyDescent="0.3">
      <c r="A524" s="100"/>
      <c r="B524" s="101" t="s">
        <v>56</v>
      </c>
      <c r="C524" s="102"/>
      <c r="D524" s="102"/>
      <c r="E524" s="103"/>
      <c r="F524" s="104">
        <f>SUM(F518:F522)</f>
        <v>3000</v>
      </c>
    </row>
    <row r="525" spans="1:6" x14ac:dyDescent="0.25">
      <c r="A525" s="18"/>
      <c r="B525" s="25"/>
      <c r="C525" s="20"/>
      <c r="D525" s="20"/>
      <c r="E525" s="21"/>
      <c r="F525" s="24"/>
    </row>
    <row r="526" spans="1:6" x14ac:dyDescent="0.25">
      <c r="A526" s="18"/>
      <c r="B526" s="158" t="s">
        <v>147</v>
      </c>
      <c r="C526" s="20"/>
      <c r="D526" s="20"/>
      <c r="E526" s="21"/>
      <c r="F526" s="159">
        <f>F399</f>
        <v>67190</v>
      </c>
    </row>
    <row r="527" spans="1:6" x14ac:dyDescent="0.25">
      <c r="A527" s="18"/>
      <c r="B527" s="25"/>
      <c r="C527" s="20"/>
      <c r="D527" s="20"/>
      <c r="E527" s="21"/>
      <c r="F527" s="159"/>
    </row>
    <row r="528" spans="1:6" x14ac:dyDescent="0.25">
      <c r="A528" s="18"/>
      <c r="B528" s="158" t="s">
        <v>148</v>
      </c>
      <c r="C528" s="20"/>
      <c r="D528" s="20"/>
      <c r="E528" s="21"/>
      <c r="F528" s="159">
        <f>F438</f>
        <v>301000</v>
      </c>
    </row>
    <row r="529" spans="1:6" x14ac:dyDescent="0.25">
      <c r="A529" s="18"/>
      <c r="B529" s="23"/>
      <c r="C529" s="20"/>
      <c r="D529" s="20"/>
      <c r="E529" s="21"/>
      <c r="F529" s="159"/>
    </row>
    <row r="530" spans="1:6" x14ac:dyDescent="0.25">
      <c r="A530" s="18"/>
      <c r="B530" s="158" t="s">
        <v>149</v>
      </c>
      <c r="C530" s="20"/>
      <c r="D530" s="20"/>
      <c r="E530" s="21"/>
      <c r="F530" s="159">
        <f>F477</f>
        <v>221540</v>
      </c>
    </row>
    <row r="531" spans="1:6" x14ac:dyDescent="0.25">
      <c r="A531" s="18"/>
      <c r="B531" s="23"/>
      <c r="C531" s="20"/>
      <c r="D531" s="20"/>
      <c r="E531" s="21"/>
      <c r="F531" s="159"/>
    </row>
    <row r="532" spans="1:6" x14ac:dyDescent="0.25">
      <c r="A532" s="18"/>
      <c r="B532" s="158" t="s">
        <v>150</v>
      </c>
      <c r="C532" s="20"/>
      <c r="D532" s="20"/>
      <c r="E532" s="21"/>
      <c r="F532" s="159">
        <f>F511</f>
        <v>192330</v>
      </c>
    </row>
    <row r="533" spans="1:6" x14ac:dyDescent="0.25">
      <c r="A533" s="18"/>
      <c r="B533" s="44"/>
      <c r="C533" s="20"/>
      <c r="D533" s="20"/>
      <c r="E533" s="21"/>
      <c r="F533" s="24"/>
    </row>
    <row r="534" spans="1:6" x14ac:dyDescent="0.25">
      <c r="A534" s="18"/>
      <c r="B534" s="158" t="s">
        <v>151</v>
      </c>
      <c r="C534" s="20"/>
      <c r="D534" s="20"/>
      <c r="E534" s="21"/>
      <c r="F534" s="159">
        <f>F524</f>
        <v>3000</v>
      </c>
    </row>
    <row r="535" spans="1:6" x14ac:dyDescent="0.25">
      <c r="A535" s="18"/>
      <c r="B535" s="44"/>
      <c r="C535" s="20"/>
      <c r="D535" s="20"/>
      <c r="E535" s="21"/>
      <c r="F535" s="24"/>
    </row>
    <row r="536" spans="1:6" x14ac:dyDescent="0.25">
      <c r="A536" s="18"/>
      <c r="B536" s="44"/>
      <c r="C536" s="20"/>
      <c r="D536" s="20"/>
      <c r="E536" s="21"/>
      <c r="F536" s="24"/>
    </row>
    <row r="537" spans="1:6" x14ac:dyDescent="0.25">
      <c r="A537" s="18"/>
      <c r="B537" s="44"/>
      <c r="C537" s="20"/>
      <c r="D537" s="20"/>
      <c r="E537" s="21"/>
      <c r="F537" s="24"/>
    </row>
    <row r="538" spans="1:6" x14ac:dyDescent="0.25">
      <c r="A538" s="18"/>
      <c r="B538" s="44"/>
      <c r="C538" s="20"/>
      <c r="D538" s="20"/>
      <c r="E538" s="21"/>
      <c r="F538" s="24"/>
    </row>
    <row r="539" spans="1:6" x14ac:dyDescent="0.25">
      <c r="A539" s="18"/>
      <c r="B539" s="44"/>
      <c r="C539" s="20"/>
      <c r="D539" s="20"/>
      <c r="E539" s="21"/>
      <c r="F539" s="24"/>
    </row>
    <row r="540" spans="1:6" x14ac:dyDescent="0.25">
      <c r="A540" s="18"/>
      <c r="B540" s="44"/>
      <c r="C540" s="20"/>
      <c r="D540" s="20"/>
      <c r="E540" s="21"/>
      <c r="F540" s="24"/>
    </row>
    <row r="541" spans="1:6" x14ac:dyDescent="0.25">
      <c r="A541" s="18"/>
      <c r="B541" s="44"/>
      <c r="C541" s="20"/>
      <c r="D541" s="20"/>
      <c r="E541" s="21"/>
      <c r="F541" s="24"/>
    </row>
    <row r="542" spans="1:6" x14ac:dyDescent="0.25">
      <c r="A542" s="18"/>
      <c r="B542" s="44"/>
      <c r="C542" s="20"/>
      <c r="D542" s="20"/>
      <c r="E542" s="21"/>
      <c r="F542" s="24"/>
    </row>
    <row r="543" spans="1:6" x14ac:dyDescent="0.25">
      <c r="A543" s="18"/>
      <c r="B543" s="44"/>
      <c r="C543" s="20"/>
      <c r="D543" s="20"/>
      <c r="E543" s="21"/>
      <c r="F543" s="24"/>
    </row>
    <row r="544" spans="1:6" x14ac:dyDescent="0.25">
      <c r="A544" s="18"/>
      <c r="B544" s="44"/>
      <c r="C544" s="20"/>
      <c r="D544" s="20"/>
      <c r="E544" s="21"/>
      <c r="F544" s="24"/>
    </row>
    <row r="545" spans="1:6" x14ac:dyDescent="0.25">
      <c r="A545" s="18"/>
      <c r="B545" s="44"/>
      <c r="C545" s="20"/>
      <c r="D545" s="20"/>
      <c r="E545" s="21"/>
      <c r="F545" s="24"/>
    </row>
    <row r="546" spans="1:6" x14ac:dyDescent="0.25">
      <c r="A546" s="18"/>
      <c r="B546" s="44"/>
      <c r="C546" s="20"/>
      <c r="D546" s="20"/>
      <c r="E546" s="21"/>
      <c r="F546" s="24"/>
    </row>
    <row r="547" spans="1:6" x14ac:dyDescent="0.25">
      <c r="A547" s="18"/>
      <c r="B547" s="44"/>
      <c r="C547" s="20"/>
      <c r="D547" s="20"/>
      <c r="E547" s="21"/>
      <c r="F547" s="24"/>
    </row>
    <row r="548" spans="1:6" x14ac:dyDescent="0.25">
      <c r="A548" s="18"/>
      <c r="B548" s="44"/>
      <c r="C548" s="20"/>
      <c r="D548" s="20"/>
      <c r="E548" s="21"/>
      <c r="F548" s="24"/>
    </row>
    <row r="549" spans="1:6" x14ac:dyDescent="0.25">
      <c r="A549" s="18"/>
      <c r="B549" s="44"/>
      <c r="C549" s="20"/>
      <c r="D549" s="20"/>
      <c r="E549" s="21"/>
      <c r="F549" s="24"/>
    </row>
    <row r="550" spans="1:6" x14ac:dyDescent="0.25">
      <c r="A550" s="18"/>
      <c r="B550" s="44"/>
      <c r="C550" s="20"/>
      <c r="D550" s="20"/>
      <c r="E550" s="21"/>
      <c r="F550" s="24"/>
    </row>
    <row r="551" spans="1:6" x14ac:dyDescent="0.25">
      <c r="A551" s="18"/>
      <c r="B551" s="44"/>
      <c r="C551" s="20"/>
      <c r="D551" s="20"/>
      <c r="E551" s="21"/>
      <c r="F551" s="24"/>
    </row>
    <row r="552" spans="1:6" x14ac:dyDescent="0.25">
      <c r="A552" s="18"/>
      <c r="B552" s="44"/>
      <c r="C552" s="20"/>
      <c r="D552" s="20"/>
      <c r="E552" s="21"/>
      <c r="F552" s="24"/>
    </row>
    <row r="553" spans="1:6" x14ac:dyDescent="0.25">
      <c r="A553" s="18"/>
      <c r="B553" s="44"/>
      <c r="C553" s="20"/>
      <c r="D553" s="20"/>
      <c r="E553" s="21"/>
      <c r="F553" s="24"/>
    </row>
    <row r="554" spans="1:6" ht="26.25" thickBot="1" x14ac:dyDescent="0.3">
      <c r="A554" s="100"/>
      <c r="B554" s="101" t="s">
        <v>146</v>
      </c>
      <c r="C554" s="102"/>
      <c r="D554" s="102"/>
      <c r="E554" s="103"/>
      <c r="F554" s="104">
        <f>SUM(F526:F534)</f>
        <v>785060</v>
      </c>
    </row>
    <row r="555" spans="1:6" x14ac:dyDescent="0.25">
      <c r="A555" s="160" t="s">
        <v>0</v>
      </c>
      <c r="B555" s="161" t="s">
        <v>1</v>
      </c>
      <c r="C555" s="162" t="s">
        <v>2</v>
      </c>
      <c r="D555" s="162" t="s">
        <v>3</v>
      </c>
      <c r="E555" s="163" t="s">
        <v>4</v>
      </c>
      <c r="F555" s="164" t="s">
        <v>5</v>
      </c>
    </row>
    <row r="556" spans="1:6" x14ac:dyDescent="0.25">
      <c r="A556" s="18"/>
      <c r="B556" s="165"/>
      <c r="C556" s="20"/>
      <c r="D556" s="20"/>
      <c r="E556" s="21"/>
      <c r="F556" s="24"/>
    </row>
    <row r="557" spans="1:6" x14ac:dyDescent="0.25">
      <c r="A557" s="18"/>
      <c r="B557" s="166" t="s">
        <v>58</v>
      </c>
      <c r="C557" s="20"/>
      <c r="D557" s="20"/>
      <c r="E557" s="21"/>
      <c r="F557" s="24"/>
    </row>
    <row r="558" spans="1:6" x14ac:dyDescent="0.25">
      <c r="A558" s="18"/>
      <c r="B558" s="167"/>
      <c r="C558" s="20"/>
      <c r="D558" s="20"/>
      <c r="E558" s="21"/>
      <c r="F558" s="24"/>
    </row>
    <row r="559" spans="1:6" x14ac:dyDescent="0.25">
      <c r="A559" s="18"/>
      <c r="B559" s="23" t="s">
        <v>152</v>
      </c>
      <c r="C559" s="20"/>
      <c r="D559" s="20"/>
      <c r="E559" s="21"/>
      <c r="F559" s="24"/>
    </row>
    <row r="560" spans="1:6" x14ac:dyDescent="0.25">
      <c r="A560" s="18"/>
      <c r="B560" s="23"/>
      <c r="C560" s="20"/>
      <c r="D560" s="20"/>
      <c r="E560" s="21"/>
      <c r="F560" s="24"/>
    </row>
    <row r="561" spans="1:6" x14ac:dyDescent="0.25">
      <c r="A561" s="18"/>
      <c r="B561" s="23" t="s">
        <v>153</v>
      </c>
      <c r="C561" s="20"/>
      <c r="D561" s="20"/>
      <c r="E561" s="21"/>
      <c r="F561" s="24"/>
    </row>
    <row r="562" spans="1:6" x14ac:dyDescent="0.25">
      <c r="A562" s="18"/>
      <c r="B562" s="23"/>
      <c r="C562" s="20"/>
      <c r="D562" s="20"/>
      <c r="E562" s="21"/>
      <c r="F562" s="24"/>
    </row>
    <row r="563" spans="1:6" x14ac:dyDescent="0.25">
      <c r="A563" s="18"/>
      <c r="B563" s="23" t="s">
        <v>154</v>
      </c>
      <c r="C563" s="20"/>
      <c r="D563" s="20"/>
      <c r="E563" s="21"/>
      <c r="F563" s="24"/>
    </row>
    <row r="564" spans="1:6" x14ac:dyDescent="0.25">
      <c r="A564" s="18"/>
      <c r="B564" s="119"/>
      <c r="C564" s="20"/>
      <c r="D564" s="20"/>
      <c r="E564" s="21"/>
      <c r="F564" s="24"/>
    </row>
    <row r="565" spans="1:6" ht="115.5" x14ac:dyDescent="0.25">
      <c r="A565" s="18"/>
      <c r="B565" s="19" t="s">
        <v>65</v>
      </c>
      <c r="C565" s="20"/>
      <c r="D565" s="20"/>
      <c r="E565" s="21"/>
      <c r="F565" s="24"/>
    </row>
    <row r="566" spans="1:6" x14ac:dyDescent="0.25">
      <c r="A566" s="18"/>
      <c r="B566" s="19"/>
      <c r="C566" s="20"/>
      <c r="D566" s="20"/>
      <c r="E566" s="21"/>
      <c r="F566" s="24"/>
    </row>
    <row r="567" spans="1:6" x14ac:dyDescent="0.25">
      <c r="A567" s="18" t="s">
        <v>7</v>
      </c>
      <c r="B567" s="25" t="s">
        <v>155</v>
      </c>
      <c r="C567" s="20">
        <v>23</v>
      </c>
      <c r="D567" s="20" t="s">
        <v>8</v>
      </c>
      <c r="E567" s="21">
        <v>550</v>
      </c>
      <c r="F567" s="24">
        <f>C567*E567</f>
        <v>12650</v>
      </c>
    </row>
    <row r="568" spans="1:6" x14ac:dyDescent="0.25">
      <c r="A568" s="18"/>
      <c r="B568" s="25"/>
      <c r="C568" s="20"/>
      <c r="D568" s="20"/>
      <c r="E568" s="21"/>
      <c r="F568" s="24"/>
    </row>
    <row r="569" spans="1:6" x14ac:dyDescent="0.25">
      <c r="A569" s="18" t="s">
        <v>9</v>
      </c>
      <c r="B569" s="25" t="s">
        <v>156</v>
      </c>
      <c r="C569" s="20">
        <v>52</v>
      </c>
      <c r="D569" s="20" t="s">
        <v>8</v>
      </c>
      <c r="E569" s="21">
        <v>550</v>
      </c>
      <c r="F569" s="24">
        <f>C569*E569</f>
        <v>28600</v>
      </c>
    </row>
    <row r="570" spans="1:6" x14ac:dyDescent="0.25">
      <c r="A570" s="18"/>
      <c r="B570" s="25"/>
      <c r="C570" s="20"/>
      <c r="D570" s="20"/>
      <c r="E570" s="21"/>
      <c r="F570" s="24"/>
    </row>
    <row r="571" spans="1:6" x14ac:dyDescent="0.25">
      <c r="A571" s="18" t="s">
        <v>10</v>
      </c>
      <c r="B571" s="25" t="s">
        <v>157</v>
      </c>
      <c r="C571" s="20">
        <v>71</v>
      </c>
      <c r="D571" s="20" t="s">
        <v>8</v>
      </c>
      <c r="E571" s="21">
        <v>550</v>
      </c>
      <c r="F571" s="24">
        <f>C571*E571</f>
        <v>39050</v>
      </c>
    </row>
    <row r="572" spans="1:6" x14ac:dyDescent="0.25">
      <c r="A572" s="168"/>
      <c r="B572" s="144"/>
      <c r="C572" s="169"/>
      <c r="D572" s="169"/>
      <c r="E572" s="170"/>
      <c r="F572" s="171"/>
    </row>
    <row r="573" spans="1:6" x14ac:dyDescent="0.25">
      <c r="A573" s="18" t="s">
        <v>11</v>
      </c>
      <c r="B573" s="172" t="s">
        <v>158</v>
      </c>
      <c r="C573" s="20">
        <v>42</v>
      </c>
      <c r="D573" s="20" t="s">
        <v>68</v>
      </c>
      <c r="E573" s="21">
        <v>150</v>
      </c>
      <c r="F573" s="24">
        <f>C573*E573</f>
        <v>6300</v>
      </c>
    </row>
    <row r="574" spans="1:6" x14ac:dyDescent="0.25">
      <c r="A574" s="18"/>
      <c r="B574" s="44"/>
      <c r="C574" s="20"/>
      <c r="D574" s="20"/>
      <c r="E574" s="21"/>
      <c r="F574" s="24"/>
    </row>
    <row r="575" spans="1:6" x14ac:dyDescent="0.25">
      <c r="A575" s="18"/>
      <c r="B575" s="23" t="s">
        <v>159</v>
      </c>
      <c r="C575" s="20"/>
      <c r="D575" s="20"/>
      <c r="E575" s="21"/>
      <c r="F575" s="24"/>
    </row>
    <row r="576" spans="1:6" x14ac:dyDescent="0.25">
      <c r="A576" s="18"/>
      <c r="B576" s="23"/>
      <c r="C576" s="20"/>
      <c r="D576" s="20"/>
      <c r="E576" s="21"/>
      <c r="F576" s="24"/>
    </row>
    <row r="577" spans="1:6" x14ac:dyDescent="0.25">
      <c r="A577" s="18"/>
      <c r="B577" s="23" t="s">
        <v>116</v>
      </c>
      <c r="C577" s="20"/>
      <c r="D577" s="20"/>
      <c r="E577" s="21"/>
      <c r="F577" s="24"/>
    </row>
    <row r="578" spans="1:6" x14ac:dyDescent="0.25">
      <c r="A578" s="18"/>
      <c r="B578" s="119"/>
      <c r="C578" s="20"/>
      <c r="D578" s="20"/>
      <c r="E578" s="21"/>
      <c r="F578" s="24"/>
    </row>
    <row r="579" spans="1:6" ht="26.25" x14ac:dyDescent="0.25">
      <c r="A579" s="18"/>
      <c r="B579" s="23" t="s">
        <v>119</v>
      </c>
      <c r="C579" s="20"/>
      <c r="D579" s="20"/>
      <c r="E579" s="21"/>
      <c r="F579" s="24"/>
    </row>
    <row r="580" spans="1:6" x14ac:dyDescent="0.25">
      <c r="A580" s="18"/>
      <c r="B580" s="173"/>
      <c r="C580" s="20"/>
      <c r="D580" s="20"/>
      <c r="E580" s="21"/>
      <c r="F580" s="24"/>
    </row>
    <row r="581" spans="1:6" x14ac:dyDescent="0.25">
      <c r="A581" s="18" t="s">
        <v>12</v>
      </c>
      <c r="B581" s="25" t="s">
        <v>160</v>
      </c>
      <c r="C581" s="20">
        <v>4</v>
      </c>
      <c r="D581" s="20" t="s">
        <v>25</v>
      </c>
      <c r="E581" s="21">
        <v>13000</v>
      </c>
      <c r="F581" s="24">
        <f>C581*E581</f>
        <v>52000</v>
      </c>
    </row>
    <row r="582" spans="1:6" x14ac:dyDescent="0.25">
      <c r="A582" s="18"/>
      <c r="B582" s="25"/>
      <c r="C582" s="20"/>
      <c r="D582" s="20"/>
      <c r="E582" s="21"/>
      <c r="F582" s="24"/>
    </row>
    <row r="583" spans="1:6" x14ac:dyDescent="0.25">
      <c r="A583" s="18" t="s">
        <v>27</v>
      </c>
      <c r="B583" s="132" t="s">
        <v>161</v>
      </c>
      <c r="C583" s="20">
        <v>1</v>
      </c>
      <c r="D583" s="20" t="s">
        <v>25</v>
      </c>
      <c r="E583" s="21">
        <v>13000</v>
      </c>
      <c r="F583" s="24">
        <f>C583*E583</f>
        <v>13000</v>
      </c>
    </row>
    <row r="584" spans="1:6" x14ac:dyDescent="0.25">
      <c r="A584" s="18"/>
      <c r="B584" s="44"/>
      <c r="C584" s="20"/>
      <c r="D584" s="20"/>
      <c r="E584" s="21"/>
      <c r="F584" s="24"/>
    </row>
    <row r="585" spans="1:6" x14ac:dyDescent="0.25">
      <c r="A585" s="18" t="s">
        <v>61</v>
      </c>
      <c r="B585" s="25" t="s">
        <v>162</v>
      </c>
      <c r="C585" s="20">
        <v>84</v>
      </c>
      <c r="D585" s="20" t="s">
        <v>8</v>
      </c>
      <c r="E585" s="21">
        <f>E583*0.15</f>
        <v>1950</v>
      </c>
      <c r="F585" s="24">
        <f>C585*E585</f>
        <v>163800</v>
      </c>
    </row>
    <row r="586" spans="1:6" x14ac:dyDescent="0.25">
      <c r="A586" s="18"/>
      <c r="B586" s="25"/>
      <c r="C586" s="20"/>
      <c r="D586" s="20"/>
      <c r="E586" s="21"/>
      <c r="F586" s="24"/>
    </row>
    <row r="587" spans="1:6" x14ac:dyDescent="0.25">
      <c r="A587" s="18"/>
      <c r="B587" s="44"/>
      <c r="C587" s="20"/>
      <c r="D587" s="20"/>
      <c r="E587" s="21"/>
      <c r="F587" s="24"/>
    </row>
    <row r="588" spans="1:6" x14ac:dyDescent="0.25">
      <c r="A588" s="18"/>
      <c r="B588" s="174"/>
      <c r="C588" s="20"/>
      <c r="D588" s="20"/>
      <c r="E588" s="21"/>
      <c r="F588" s="24"/>
    </row>
    <row r="589" spans="1:6" x14ac:dyDescent="0.25">
      <c r="A589" s="72"/>
      <c r="B589" s="43"/>
      <c r="C589" s="87"/>
      <c r="D589" s="87"/>
      <c r="E589" s="88"/>
      <c r="F589" s="22"/>
    </row>
    <row r="590" spans="1:6" x14ac:dyDescent="0.25">
      <c r="A590" s="72"/>
      <c r="B590" s="43"/>
      <c r="C590" s="87"/>
      <c r="D590" s="87"/>
      <c r="E590" s="88"/>
      <c r="F590" s="22"/>
    </row>
    <row r="591" spans="1:6" x14ac:dyDescent="0.25">
      <c r="A591" s="72"/>
      <c r="B591" s="43"/>
      <c r="C591" s="87"/>
      <c r="D591" s="87"/>
      <c r="E591" s="88"/>
      <c r="F591" s="22"/>
    </row>
    <row r="592" spans="1:6" x14ac:dyDescent="0.25">
      <c r="A592" s="168"/>
      <c r="B592" s="144"/>
      <c r="C592" s="169"/>
      <c r="D592" s="169"/>
      <c r="E592" s="170"/>
      <c r="F592" s="171"/>
    </row>
    <row r="593" spans="1:6" ht="15.75" thickBot="1" x14ac:dyDescent="0.3">
      <c r="A593" s="175"/>
      <c r="B593" s="101" t="s">
        <v>56</v>
      </c>
      <c r="C593" s="176"/>
      <c r="D593" s="176"/>
      <c r="E593" s="177"/>
      <c r="F593" s="104">
        <f>SUM(F567:F585)</f>
        <v>315400</v>
      </c>
    </row>
    <row r="594" spans="1:6" x14ac:dyDescent="0.25">
      <c r="A594" s="160" t="s">
        <v>0</v>
      </c>
      <c r="B594" s="161" t="s">
        <v>1</v>
      </c>
      <c r="C594" s="162" t="s">
        <v>2</v>
      </c>
      <c r="D594" s="162" t="s">
        <v>3</v>
      </c>
      <c r="E594" s="163" t="s">
        <v>4</v>
      </c>
      <c r="F594" s="164" t="s">
        <v>5</v>
      </c>
    </row>
    <row r="595" spans="1:6" x14ac:dyDescent="0.25">
      <c r="A595" s="18"/>
      <c r="B595" s="27"/>
      <c r="C595" s="20"/>
      <c r="D595" s="20"/>
      <c r="E595" s="21"/>
      <c r="F595" s="24"/>
    </row>
    <row r="596" spans="1:6" x14ac:dyDescent="0.25">
      <c r="A596" s="18"/>
      <c r="B596" s="23" t="s">
        <v>48</v>
      </c>
      <c r="C596" s="20"/>
      <c r="D596" s="20"/>
      <c r="E596" s="21"/>
      <c r="F596" s="24"/>
    </row>
    <row r="597" spans="1:6" x14ac:dyDescent="0.25">
      <c r="A597" s="18"/>
      <c r="B597" s="23"/>
      <c r="C597" s="20"/>
      <c r="D597" s="20"/>
      <c r="E597" s="21"/>
      <c r="F597" s="24"/>
    </row>
    <row r="598" spans="1:6" ht="77.25" x14ac:dyDescent="0.25">
      <c r="A598" s="18"/>
      <c r="B598" s="19" t="s">
        <v>163</v>
      </c>
      <c r="C598" s="20"/>
      <c r="D598" s="20"/>
      <c r="E598" s="21"/>
      <c r="F598" s="24"/>
    </row>
    <row r="599" spans="1:6" x14ac:dyDescent="0.25">
      <c r="A599" s="18"/>
      <c r="B599" s="19"/>
      <c r="C599" s="20"/>
      <c r="D599" s="20"/>
      <c r="E599" s="21"/>
      <c r="F599" s="24"/>
    </row>
    <row r="600" spans="1:6" x14ac:dyDescent="0.25">
      <c r="A600" s="18"/>
      <c r="B600" s="23" t="s">
        <v>161</v>
      </c>
      <c r="C600" s="20"/>
      <c r="D600" s="20"/>
      <c r="E600" s="21"/>
      <c r="F600" s="24"/>
    </row>
    <row r="601" spans="1:6" x14ac:dyDescent="0.25">
      <c r="A601" s="18"/>
      <c r="B601" s="173"/>
      <c r="C601" s="20"/>
      <c r="D601" s="20"/>
      <c r="E601" s="21"/>
      <c r="F601" s="24"/>
    </row>
    <row r="602" spans="1:6" x14ac:dyDescent="0.25">
      <c r="A602" s="18" t="s">
        <v>7</v>
      </c>
      <c r="B602" s="130" t="s">
        <v>127</v>
      </c>
      <c r="C602" s="20">
        <v>56</v>
      </c>
      <c r="D602" s="20" t="s">
        <v>51</v>
      </c>
      <c r="E602" s="21">
        <v>180</v>
      </c>
      <c r="F602" s="24">
        <f>C602*E602</f>
        <v>10080</v>
      </c>
    </row>
    <row r="603" spans="1:6" x14ac:dyDescent="0.25">
      <c r="A603" s="18"/>
      <c r="B603" s="179"/>
      <c r="C603" s="20"/>
      <c r="D603" s="20"/>
      <c r="E603" s="21"/>
      <c r="F603" s="24"/>
    </row>
    <row r="604" spans="1:6" x14ac:dyDescent="0.25">
      <c r="A604" s="18" t="s">
        <v>9</v>
      </c>
      <c r="B604" s="25" t="s">
        <v>134</v>
      </c>
      <c r="C604" s="20">
        <v>243</v>
      </c>
      <c r="D604" s="20" t="s">
        <v>51</v>
      </c>
      <c r="E604" s="21">
        <v>180</v>
      </c>
      <c r="F604" s="24">
        <f>C604*E604</f>
        <v>43740</v>
      </c>
    </row>
    <row r="605" spans="1:6" x14ac:dyDescent="0.25">
      <c r="A605" s="18"/>
      <c r="B605" s="25"/>
      <c r="C605" s="20"/>
      <c r="D605" s="20"/>
      <c r="E605" s="21"/>
      <c r="F605" s="24"/>
    </row>
    <row r="606" spans="1:6" x14ac:dyDescent="0.25">
      <c r="A606" s="18"/>
      <c r="B606" s="23" t="s">
        <v>160</v>
      </c>
      <c r="C606" s="20"/>
      <c r="D606" s="20"/>
      <c r="E606" s="21"/>
      <c r="F606" s="24"/>
    </row>
    <row r="607" spans="1:6" x14ac:dyDescent="0.25">
      <c r="A607" s="18"/>
      <c r="B607" s="173"/>
      <c r="C607" s="20"/>
      <c r="D607" s="20"/>
      <c r="E607" s="21"/>
      <c r="F607" s="24"/>
    </row>
    <row r="608" spans="1:6" x14ac:dyDescent="0.25">
      <c r="A608" s="18" t="s">
        <v>10</v>
      </c>
      <c r="B608" s="25" t="s">
        <v>127</v>
      </c>
      <c r="C608" s="20">
        <v>208</v>
      </c>
      <c r="D608" s="20" t="s">
        <v>51</v>
      </c>
      <c r="E608" s="21">
        <v>180</v>
      </c>
      <c r="F608" s="24">
        <f>C608*E608</f>
        <v>37440</v>
      </c>
    </row>
    <row r="609" spans="1:6" x14ac:dyDescent="0.25">
      <c r="A609" s="18"/>
      <c r="B609" s="25"/>
      <c r="C609" s="20"/>
      <c r="D609" s="20"/>
      <c r="E609" s="21"/>
      <c r="F609" s="24"/>
    </row>
    <row r="610" spans="1:6" x14ac:dyDescent="0.25">
      <c r="A610" s="18" t="s">
        <v>11</v>
      </c>
      <c r="B610" s="25" t="s">
        <v>52</v>
      </c>
      <c r="C610" s="20">
        <v>240</v>
      </c>
      <c r="D610" s="20" t="s">
        <v>51</v>
      </c>
      <c r="E610" s="21">
        <v>180</v>
      </c>
      <c r="F610" s="24">
        <f>C610*E610</f>
        <v>43200</v>
      </c>
    </row>
    <row r="611" spans="1:6" x14ac:dyDescent="0.25">
      <c r="A611" s="18"/>
      <c r="B611" s="25"/>
      <c r="C611" s="20"/>
      <c r="D611" s="20"/>
      <c r="E611" s="21"/>
      <c r="F611" s="24"/>
    </row>
    <row r="612" spans="1:6" x14ac:dyDescent="0.25">
      <c r="A612" s="18"/>
      <c r="B612" s="151" t="s">
        <v>164</v>
      </c>
      <c r="C612" s="20"/>
      <c r="D612" s="20"/>
      <c r="E612" s="21"/>
      <c r="F612" s="159"/>
    </row>
    <row r="613" spans="1:6" x14ac:dyDescent="0.25">
      <c r="A613" s="18"/>
      <c r="B613" s="180"/>
      <c r="C613" s="20"/>
      <c r="D613" s="20"/>
      <c r="E613" s="21"/>
      <c r="F613" s="159"/>
    </row>
    <row r="614" spans="1:6" x14ac:dyDescent="0.25">
      <c r="A614" s="18" t="s">
        <v>12</v>
      </c>
      <c r="B614" s="94" t="s">
        <v>165</v>
      </c>
      <c r="C614" s="20">
        <v>842</v>
      </c>
      <c r="D614" s="20" t="s">
        <v>51</v>
      </c>
      <c r="E614" s="21">
        <v>180</v>
      </c>
      <c r="F614" s="24">
        <f>C614*E614</f>
        <v>151560</v>
      </c>
    </row>
    <row r="615" spans="1:6" x14ac:dyDescent="0.25">
      <c r="A615" s="18"/>
      <c r="B615" s="44"/>
      <c r="C615" s="20"/>
      <c r="D615" s="20"/>
      <c r="E615" s="21"/>
      <c r="F615" s="24"/>
    </row>
    <row r="616" spans="1:6" ht="15.75" thickBot="1" x14ac:dyDescent="0.3">
      <c r="A616" s="100"/>
      <c r="B616" s="101" t="s">
        <v>56</v>
      </c>
      <c r="C616" s="102"/>
      <c r="D616" s="102"/>
      <c r="E616" s="103"/>
      <c r="F616" s="104">
        <f>SUM(F602:F614)</f>
        <v>286020</v>
      </c>
    </row>
    <row r="617" spans="1:6" x14ac:dyDescent="0.25">
      <c r="A617" s="18"/>
      <c r="B617" s="25"/>
      <c r="C617" s="20"/>
      <c r="D617" s="20"/>
      <c r="E617" s="21"/>
      <c r="F617" s="24"/>
    </row>
    <row r="618" spans="1:6" x14ac:dyDescent="0.25">
      <c r="A618" s="18"/>
      <c r="B618" s="158" t="s">
        <v>167</v>
      </c>
      <c r="C618" s="20"/>
      <c r="D618" s="20"/>
      <c r="E618" s="21"/>
      <c r="F618" s="159">
        <f>F593</f>
        <v>315400</v>
      </c>
    </row>
    <row r="619" spans="1:6" x14ac:dyDescent="0.25">
      <c r="A619" s="18"/>
      <c r="B619" s="44"/>
      <c r="C619" s="20"/>
      <c r="D619" s="20"/>
      <c r="E619" s="21"/>
      <c r="F619" s="159"/>
    </row>
    <row r="620" spans="1:6" x14ac:dyDescent="0.25">
      <c r="A620" s="18"/>
      <c r="B620" s="158" t="s">
        <v>168</v>
      </c>
      <c r="C620" s="20"/>
      <c r="D620" s="20"/>
      <c r="E620" s="21"/>
      <c r="F620" s="159">
        <f>F616</f>
        <v>286020</v>
      </c>
    </row>
    <row r="621" spans="1:6" x14ac:dyDescent="0.25">
      <c r="A621" s="18"/>
      <c r="B621" s="44"/>
      <c r="C621" s="20"/>
      <c r="D621" s="20"/>
      <c r="E621" s="21"/>
      <c r="F621" s="24"/>
    </row>
    <row r="622" spans="1:6" x14ac:dyDescent="0.25">
      <c r="A622" s="18"/>
      <c r="B622" s="44"/>
      <c r="C622" s="20"/>
      <c r="D622" s="20"/>
      <c r="E622" s="21"/>
      <c r="F622" s="24"/>
    </row>
    <row r="623" spans="1:6" x14ac:dyDescent="0.25">
      <c r="A623" s="18"/>
      <c r="B623" s="44"/>
      <c r="C623" s="20"/>
      <c r="D623" s="20"/>
      <c r="E623" s="21"/>
      <c r="F623" s="24"/>
    </row>
    <row r="624" spans="1:6" x14ac:dyDescent="0.25">
      <c r="A624" s="18"/>
      <c r="B624" s="44"/>
      <c r="C624" s="20"/>
      <c r="D624" s="20"/>
      <c r="E624" s="21"/>
      <c r="F624" s="24"/>
    </row>
    <row r="625" spans="1:6" x14ac:dyDescent="0.25">
      <c r="A625" s="18"/>
      <c r="B625" s="23"/>
      <c r="C625" s="20"/>
      <c r="D625" s="20"/>
      <c r="E625" s="21"/>
      <c r="F625" s="24"/>
    </row>
    <row r="626" spans="1:6" x14ac:dyDescent="0.25">
      <c r="A626" s="18"/>
      <c r="B626" s="151"/>
      <c r="C626" s="20"/>
      <c r="D626" s="20"/>
      <c r="E626" s="21"/>
      <c r="F626" s="159"/>
    </row>
    <row r="627" spans="1:6" x14ac:dyDescent="0.25">
      <c r="A627" s="18"/>
      <c r="B627" s="180"/>
      <c r="C627" s="20"/>
      <c r="D627" s="20"/>
      <c r="E627" s="21"/>
      <c r="F627" s="159"/>
    </row>
    <row r="628" spans="1:6" x14ac:dyDescent="0.25">
      <c r="A628" s="18"/>
      <c r="B628" s="180"/>
      <c r="C628" s="20"/>
      <c r="D628" s="20"/>
      <c r="E628" s="21"/>
      <c r="F628" s="159"/>
    </row>
    <row r="629" spans="1:6" x14ac:dyDescent="0.25">
      <c r="A629" s="18"/>
      <c r="B629" s="180"/>
      <c r="C629" s="20"/>
      <c r="D629" s="20"/>
      <c r="E629" s="21"/>
      <c r="F629" s="159"/>
    </row>
    <row r="630" spans="1:6" x14ac:dyDescent="0.25">
      <c r="A630" s="18"/>
      <c r="B630" s="180"/>
      <c r="C630" s="20"/>
      <c r="D630" s="20"/>
      <c r="E630" s="21"/>
      <c r="F630" s="159"/>
    </row>
    <row r="631" spans="1:6" x14ac:dyDescent="0.25">
      <c r="A631" s="18"/>
      <c r="B631" s="180"/>
      <c r="C631" s="20"/>
      <c r="D631" s="20"/>
      <c r="E631" s="21"/>
      <c r="F631" s="159"/>
    </row>
    <row r="632" spans="1:6" x14ac:dyDescent="0.25">
      <c r="A632" s="18"/>
      <c r="B632" s="180"/>
      <c r="C632" s="20"/>
      <c r="D632" s="20"/>
      <c r="E632" s="21"/>
      <c r="F632" s="159"/>
    </row>
    <row r="633" spans="1:6" x14ac:dyDescent="0.25">
      <c r="A633" s="18"/>
      <c r="B633" s="180"/>
      <c r="C633" s="20"/>
      <c r="D633" s="20"/>
      <c r="E633" s="21"/>
      <c r="F633" s="159"/>
    </row>
    <row r="634" spans="1:6" x14ac:dyDescent="0.25">
      <c r="A634" s="18"/>
      <c r="B634" s="94"/>
      <c r="C634" s="20"/>
      <c r="D634" s="20"/>
      <c r="E634" s="21"/>
      <c r="F634" s="24"/>
    </row>
    <row r="635" spans="1:6" ht="26.25" thickBot="1" x14ac:dyDescent="0.3">
      <c r="A635" s="100"/>
      <c r="B635" s="129" t="s">
        <v>166</v>
      </c>
      <c r="C635" s="102"/>
      <c r="D635" s="102"/>
      <c r="E635" s="103"/>
      <c r="F635" s="104">
        <f>SUM(F618:F620)</f>
        <v>601420</v>
      </c>
    </row>
    <row r="636" spans="1:6" x14ac:dyDescent="0.25">
      <c r="A636" s="160" t="s">
        <v>0</v>
      </c>
      <c r="B636" s="161" t="s">
        <v>1</v>
      </c>
      <c r="C636" s="162" t="s">
        <v>2</v>
      </c>
      <c r="D636" s="162" t="s">
        <v>3</v>
      </c>
      <c r="E636" s="163" t="s">
        <v>4</v>
      </c>
      <c r="F636" s="164" t="s">
        <v>5</v>
      </c>
    </row>
    <row r="638" spans="1:6" x14ac:dyDescent="0.25">
      <c r="A638" s="18"/>
      <c r="B638" s="45" t="s">
        <v>169</v>
      </c>
      <c r="C638" s="20"/>
      <c r="D638" s="20"/>
      <c r="E638" s="21"/>
      <c r="F638" s="24"/>
    </row>
    <row r="639" spans="1:6" x14ac:dyDescent="0.25">
      <c r="A639" s="18"/>
      <c r="B639" s="44"/>
      <c r="C639" s="20"/>
      <c r="D639" s="20"/>
      <c r="E639" s="21"/>
      <c r="F639" s="24"/>
    </row>
    <row r="640" spans="1:6" x14ac:dyDescent="0.25">
      <c r="A640" s="18"/>
      <c r="B640" s="45" t="s">
        <v>170</v>
      </c>
      <c r="C640" s="20"/>
      <c r="D640" s="20"/>
      <c r="E640" s="21"/>
      <c r="F640" s="24"/>
    </row>
    <row r="641" spans="1:6" x14ac:dyDescent="0.25">
      <c r="A641" s="72"/>
      <c r="B641" s="43"/>
      <c r="C641" s="87"/>
      <c r="D641" s="87"/>
      <c r="E641" s="88"/>
      <c r="F641" s="22"/>
    </row>
    <row r="642" spans="1:6" ht="39" x14ac:dyDescent="0.25">
      <c r="A642" s="72"/>
      <c r="B642" s="19" t="s">
        <v>171</v>
      </c>
      <c r="C642" s="20"/>
      <c r="D642" s="20"/>
      <c r="E642" s="21"/>
      <c r="F642" s="24"/>
    </row>
    <row r="643" spans="1:6" x14ac:dyDescent="0.25">
      <c r="A643" s="72"/>
      <c r="B643" s="43"/>
      <c r="C643" s="20"/>
      <c r="D643" s="20"/>
      <c r="E643" s="21"/>
      <c r="F643" s="24"/>
    </row>
    <row r="644" spans="1:6" x14ac:dyDescent="0.25">
      <c r="A644" s="18" t="s">
        <v>7</v>
      </c>
      <c r="B644" s="44" t="s">
        <v>172</v>
      </c>
      <c r="C644" s="20">
        <v>39</v>
      </c>
      <c r="D644" s="20" t="s">
        <v>68</v>
      </c>
      <c r="E644" s="21">
        <v>200</v>
      </c>
      <c r="F644" s="24">
        <f>C644*E644</f>
        <v>7800</v>
      </c>
    </row>
    <row r="645" spans="1:6" x14ac:dyDescent="0.25">
      <c r="A645" s="18"/>
      <c r="B645" s="44"/>
      <c r="C645" s="20"/>
      <c r="D645" s="20"/>
      <c r="E645" s="21"/>
      <c r="F645" s="24"/>
    </row>
    <row r="646" spans="1:6" x14ac:dyDescent="0.25">
      <c r="A646" s="18" t="s">
        <v>9</v>
      </c>
      <c r="B646" s="44" t="s">
        <v>179</v>
      </c>
      <c r="C646" s="20">
        <v>15</v>
      </c>
      <c r="D646" s="20" t="s">
        <v>68</v>
      </c>
      <c r="E646" s="21">
        <v>150</v>
      </c>
      <c r="F646" s="24">
        <f>C646*E646</f>
        <v>2250</v>
      </c>
    </row>
    <row r="647" spans="1:6" x14ac:dyDescent="0.25">
      <c r="A647" s="72"/>
      <c r="B647" s="43"/>
      <c r="C647" s="87"/>
      <c r="D647" s="87"/>
      <c r="E647" s="88"/>
      <c r="F647" s="22"/>
    </row>
    <row r="648" spans="1:6" x14ac:dyDescent="0.25">
      <c r="A648" s="72"/>
      <c r="B648" s="45" t="s">
        <v>173</v>
      </c>
      <c r="C648" s="87"/>
      <c r="D648" s="87"/>
      <c r="E648" s="88"/>
      <c r="F648" s="22"/>
    </row>
    <row r="649" spans="1:6" x14ac:dyDescent="0.25">
      <c r="A649" s="72"/>
      <c r="B649" s="43"/>
      <c r="C649" s="87"/>
      <c r="D649" s="87"/>
      <c r="E649" s="88"/>
      <c r="F649" s="22"/>
    </row>
    <row r="650" spans="1:6" ht="64.5" x14ac:dyDescent="0.25">
      <c r="A650" s="72"/>
      <c r="B650" s="19" t="s">
        <v>174</v>
      </c>
      <c r="C650" s="87"/>
      <c r="D650" s="87"/>
      <c r="E650" s="88"/>
      <c r="F650" s="22"/>
    </row>
    <row r="651" spans="1:6" x14ac:dyDescent="0.25">
      <c r="A651" s="18"/>
      <c r="B651" s="44"/>
      <c r="C651" s="20"/>
      <c r="D651" s="20"/>
      <c r="E651" s="21"/>
      <c r="F651" s="24"/>
    </row>
    <row r="652" spans="1:6" x14ac:dyDescent="0.25">
      <c r="A652" s="18" t="s">
        <v>10</v>
      </c>
      <c r="B652" s="44" t="s">
        <v>175</v>
      </c>
      <c r="C652" s="89">
        <v>77</v>
      </c>
      <c r="D652" s="20" t="s">
        <v>8</v>
      </c>
      <c r="E652" s="21">
        <v>1800</v>
      </c>
      <c r="F652" s="24">
        <f>C652*E652</f>
        <v>138600</v>
      </c>
    </row>
    <row r="653" spans="1:6" x14ac:dyDescent="0.25">
      <c r="A653" s="18"/>
      <c r="B653" s="44"/>
      <c r="C653" s="20"/>
      <c r="D653" s="20"/>
      <c r="E653" s="21"/>
      <c r="F653" s="24"/>
    </row>
    <row r="654" spans="1:6" x14ac:dyDescent="0.25">
      <c r="A654" s="18"/>
      <c r="B654" s="45" t="s">
        <v>176</v>
      </c>
      <c r="C654" s="20"/>
      <c r="D654" s="20"/>
      <c r="E654" s="21"/>
      <c r="F654" s="24"/>
    </row>
    <row r="655" spans="1:6" x14ac:dyDescent="0.25">
      <c r="A655" s="18"/>
      <c r="B655" s="44"/>
      <c r="C655" s="20"/>
      <c r="D655" s="20"/>
      <c r="E655" s="21"/>
      <c r="F655" s="24"/>
    </row>
    <row r="656" spans="1:6" ht="77.25" x14ac:dyDescent="0.25">
      <c r="A656" s="18"/>
      <c r="B656" s="19" t="s">
        <v>177</v>
      </c>
      <c r="C656" s="20"/>
      <c r="D656" s="20"/>
      <c r="E656" s="21"/>
      <c r="F656" s="24"/>
    </row>
    <row r="657" spans="1:6" x14ac:dyDescent="0.25">
      <c r="A657" s="18"/>
      <c r="B657" s="44"/>
      <c r="C657" s="20"/>
      <c r="D657" s="87"/>
      <c r="E657" s="88"/>
      <c r="F657" s="24"/>
    </row>
    <row r="658" spans="1:6" x14ac:dyDescent="0.25">
      <c r="A658" s="18" t="s">
        <v>11</v>
      </c>
      <c r="B658" s="44" t="s">
        <v>175</v>
      </c>
      <c r="C658" s="89">
        <v>8</v>
      </c>
      <c r="D658" s="20" t="s">
        <v>8</v>
      </c>
      <c r="E658" s="21">
        <v>1800</v>
      </c>
      <c r="F658" s="24">
        <f>C658*E658</f>
        <v>14400</v>
      </c>
    </row>
    <row r="659" spans="1:6" x14ac:dyDescent="0.25">
      <c r="A659" s="18"/>
      <c r="B659" s="44"/>
      <c r="C659" s="20"/>
      <c r="D659" s="20"/>
      <c r="E659" s="21"/>
      <c r="F659" s="24"/>
    </row>
    <row r="660" spans="1:6" x14ac:dyDescent="0.25">
      <c r="A660" s="18" t="s">
        <v>12</v>
      </c>
      <c r="B660" s="44" t="s">
        <v>180</v>
      </c>
      <c r="C660" s="89">
        <v>38</v>
      </c>
      <c r="D660" s="20" t="s">
        <v>8</v>
      </c>
      <c r="E660" s="21">
        <v>1600</v>
      </c>
      <c r="F660" s="24">
        <f>C660*E660</f>
        <v>60800</v>
      </c>
    </row>
    <row r="661" spans="1:6" x14ac:dyDescent="0.25">
      <c r="A661" s="18"/>
      <c r="B661" s="44"/>
      <c r="C661" s="20"/>
      <c r="D661" s="20"/>
      <c r="E661" s="21"/>
      <c r="F661" s="24"/>
    </row>
    <row r="662" spans="1:6" x14ac:dyDescent="0.25">
      <c r="A662" s="18"/>
      <c r="B662" s="44"/>
      <c r="C662" s="20"/>
      <c r="D662" s="20"/>
      <c r="E662" s="21"/>
      <c r="F662" s="24"/>
    </row>
    <row r="663" spans="1:6" x14ac:dyDescent="0.25">
      <c r="A663" s="72"/>
      <c r="B663" s="43"/>
      <c r="C663" s="87"/>
      <c r="D663" s="87"/>
      <c r="E663" s="88"/>
      <c r="F663" s="22"/>
    </row>
    <row r="664" spans="1:6" x14ac:dyDescent="0.25">
      <c r="A664" s="72"/>
      <c r="B664" s="43"/>
      <c r="C664" s="87"/>
      <c r="D664" s="87"/>
      <c r="E664" s="88"/>
      <c r="F664" s="22"/>
    </row>
    <row r="665" spans="1:6" x14ac:dyDescent="0.25">
      <c r="A665" s="72"/>
      <c r="B665" s="43"/>
      <c r="C665" s="87"/>
      <c r="D665" s="87"/>
      <c r="E665" s="88"/>
      <c r="F665" s="22"/>
    </row>
    <row r="666" spans="1:6" x14ac:dyDescent="0.25">
      <c r="A666" s="18"/>
      <c r="B666" s="44"/>
      <c r="C666" s="20"/>
      <c r="D666" s="20"/>
      <c r="E666" s="21"/>
      <c r="F666" s="24"/>
    </row>
    <row r="667" spans="1:6" x14ac:dyDescent="0.25">
      <c r="A667" s="18"/>
      <c r="B667" s="44"/>
      <c r="C667" s="20"/>
      <c r="D667" s="20"/>
      <c r="E667" s="21"/>
      <c r="F667" s="24"/>
    </row>
    <row r="668" spans="1:6" x14ac:dyDescent="0.25">
      <c r="A668" s="18"/>
      <c r="B668" s="44"/>
      <c r="C668" s="20"/>
      <c r="D668" s="20"/>
      <c r="E668" s="21"/>
      <c r="F668" s="24"/>
    </row>
    <row r="669" spans="1:6" x14ac:dyDescent="0.25">
      <c r="A669" s="18"/>
      <c r="B669" s="44"/>
      <c r="C669" s="20"/>
      <c r="D669" s="20"/>
      <c r="E669" s="21"/>
      <c r="F669" s="24"/>
    </row>
    <row r="670" spans="1:6" x14ac:dyDescent="0.25">
      <c r="A670" s="18"/>
      <c r="B670" s="44"/>
      <c r="C670" s="20"/>
      <c r="D670" s="20"/>
      <c r="E670" s="21"/>
      <c r="F670" s="24"/>
    </row>
    <row r="671" spans="1:6" x14ac:dyDescent="0.25">
      <c r="A671" s="18"/>
      <c r="B671" s="44"/>
      <c r="C671" s="20"/>
      <c r="D671" s="20"/>
      <c r="E671" s="21"/>
      <c r="F671" s="24"/>
    </row>
    <row r="672" spans="1:6" ht="26.25" thickBot="1" x14ac:dyDescent="0.3">
      <c r="A672" s="100"/>
      <c r="B672" s="129" t="s">
        <v>178</v>
      </c>
      <c r="C672" s="102"/>
      <c r="D672" s="102"/>
      <c r="E672" s="103"/>
      <c r="F672" s="104">
        <f>SUM(F644:F660)</f>
        <v>223850</v>
      </c>
    </row>
    <row r="673" spans="1:6" x14ac:dyDescent="0.25">
      <c r="A673" s="160" t="s">
        <v>0</v>
      </c>
      <c r="B673" s="161" t="s">
        <v>1</v>
      </c>
      <c r="C673" s="162" t="s">
        <v>2</v>
      </c>
      <c r="D673" s="162" t="s">
        <v>3</v>
      </c>
      <c r="E673" s="163" t="s">
        <v>4</v>
      </c>
      <c r="F673" s="164" t="s">
        <v>5</v>
      </c>
    </row>
    <row r="674" spans="1:6" x14ac:dyDescent="0.25">
      <c r="A674" s="18"/>
      <c r="B674" s="66"/>
      <c r="C674" s="20"/>
      <c r="D674" s="20"/>
      <c r="E674" s="21"/>
      <c r="F674" s="24"/>
    </row>
    <row r="675" spans="1:6" x14ac:dyDescent="0.25">
      <c r="A675" s="18"/>
      <c r="B675" s="45" t="s">
        <v>181</v>
      </c>
      <c r="C675" s="20"/>
      <c r="D675" s="20"/>
      <c r="E675" s="21"/>
      <c r="F675" s="24"/>
    </row>
    <row r="676" spans="1:6" x14ac:dyDescent="0.25">
      <c r="A676" s="18"/>
      <c r="B676" s="44"/>
      <c r="C676" s="20"/>
      <c r="D676" s="20"/>
      <c r="E676" s="21"/>
      <c r="F676" s="24"/>
    </row>
    <row r="677" spans="1:6" x14ac:dyDescent="0.25">
      <c r="A677" s="18"/>
      <c r="B677" s="45" t="s">
        <v>182</v>
      </c>
      <c r="C677" s="20"/>
      <c r="D677" s="20"/>
      <c r="E677" s="21"/>
      <c r="F677" s="24"/>
    </row>
    <row r="678" spans="1:6" x14ac:dyDescent="0.25">
      <c r="A678" s="18"/>
      <c r="B678" s="44"/>
      <c r="C678" s="20"/>
      <c r="D678" s="20"/>
      <c r="E678" s="21"/>
      <c r="F678" s="24"/>
    </row>
    <row r="679" spans="1:6" x14ac:dyDescent="0.25">
      <c r="A679" s="18"/>
      <c r="B679" s="45" t="s">
        <v>183</v>
      </c>
      <c r="C679" s="20"/>
      <c r="D679" s="20"/>
      <c r="E679" s="21"/>
      <c r="F679" s="24"/>
    </row>
    <row r="680" spans="1:6" x14ac:dyDescent="0.25">
      <c r="A680" s="18"/>
      <c r="B680" s="44"/>
      <c r="C680" s="20"/>
      <c r="D680" s="20"/>
      <c r="E680" s="21"/>
      <c r="F680" s="24"/>
    </row>
    <row r="681" spans="1:6" ht="51.75" x14ac:dyDescent="0.25">
      <c r="A681" s="18" t="s">
        <v>7</v>
      </c>
      <c r="B681" s="121" t="s">
        <v>184</v>
      </c>
      <c r="C681" s="20">
        <v>9</v>
      </c>
      <c r="D681" s="20" t="s">
        <v>68</v>
      </c>
      <c r="E681" s="21">
        <v>650</v>
      </c>
      <c r="F681" s="24">
        <f>C681*E681</f>
        <v>5850</v>
      </c>
    </row>
    <row r="682" spans="1:6" x14ac:dyDescent="0.25">
      <c r="A682" s="18"/>
      <c r="B682" s="44"/>
      <c r="C682" s="20"/>
      <c r="D682" s="20"/>
      <c r="E682" s="21"/>
      <c r="F682" s="24"/>
    </row>
    <row r="683" spans="1:6" x14ac:dyDescent="0.25">
      <c r="A683" s="18"/>
      <c r="B683" s="19" t="s">
        <v>185</v>
      </c>
      <c r="C683" s="20"/>
      <c r="D683" s="20"/>
      <c r="E683" s="21"/>
      <c r="F683" s="24"/>
    </row>
    <row r="684" spans="1:6" x14ac:dyDescent="0.25">
      <c r="A684" s="18"/>
      <c r="B684" s="44"/>
      <c r="C684" s="20"/>
      <c r="D684" s="20"/>
      <c r="E684" s="21"/>
      <c r="F684" s="24"/>
    </row>
    <row r="685" spans="1:6" ht="204" x14ac:dyDescent="0.25">
      <c r="A685" s="18"/>
      <c r="B685" s="26" t="s">
        <v>186</v>
      </c>
      <c r="C685" s="20"/>
      <c r="D685" s="20"/>
      <c r="E685" s="21"/>
      <c r="F685" s="24"/>
    </row>
    <row r="686" spans="1:6" x14ac:dyDescent="0.25">
      <c r="A686" s="18"/>
      <c r="B686" s="26"/>
      <c r="C686" s="20"/>
      <c r="D686" s="20"/>
      <c r="E686" s="21"/>
      <c r="F686" s="24"/>
    </row>
    <row r="687" spans="1:6" x14ac:dyDescent="0.25">
      <c r="A687" s="18" t="s">
        <v>9</v>
      </c>
      <c r="B687" s="25" t="s">
        <v>200</v>
      </c>
      <c r="C687" s="20">
        <v>4</v>
      </c>
      <c r="D687" s="20" t="s">
        <v>82</v>
      </c>
      <c r="E687" s="21">
        <f>1.5*1.2*4000</f>
        <v>7199.9999999999991</v>
      </c>
      <c r="F687" s="24">
        <f>C687*E687</f>
        <v>28799.999999999996</v>
      </c>
    </row>
    <row r="688" spans="1:6" x14ac:dyDescent="0.25">
      <c r="A688" s="18"/>
      <c r="B688" s="25"/>
      <c r="C688" s="20"/>
      <c r="D688" s="20"/>
      <c r="E688" s="21"/>
      <c r="F688" s="24"/>
    </row>
    <row r="689" spans="1:6" x14ac:dyDescent="0.25">
      <c r="A689" s="18" t="s">
        <v>10</v>
      </c>
      <c r="B689" s="25" t="s">
        <v>187</v>
      </c>
      <c r="C689" s="20">
        <v>4</v>
      </c>
      <c r="D689" s="20" t="s">
        <v>82</v>
      </c>
      <c r="E689" s="21">
        <f>0.75*0.85*4000</f>
        <v>2550</v>
      </c>
      <c r="F689" s="24">
        <f>C689*E689</f>
        <v>10200</v>
      </c>
    </row>
    <row r="690" spans="1:6" x14ac:dyDescent="0.25">
      <c r="A690" s="18"/>
      <c r="B690" s="44"/>
      <c r="C690" s="20"/>
      <c r="D690" s="20"/>
      <c r="E690" s="21"/>
      <c r="F690" s="24"/>
    </row>
    <row r="691" spans="1:6" x14ac:dyDescent="0.25">
      <c r="A691" s="18"/>
      <c r="B691" s="23" t="s">
        <v>188</v>
      </c>
      <c r="C691" s="20"/>
      <c r="D691" s="20"/>
      <c r="E691" s="21"/>
      <c r="F691" s="24"/>
    </row>
    <row r="692" spans="1:6" x14ac:dyDescent="0.25">
      <c r="A692" s="18"/>
      <c r="B692" s="23"/>
      <c r="C692" s="20"/>
      <c r="D692" s="20"/>
      <c r="E692" s="21"/>
      <c r="F692" s="24"/>
    </row>
    <row r="693" spans="1:6" ht="26.25" x14ac:dyDescent="0.25">
      <c r="A693" s="18" t="s">
        <v>11</v>
      </c>
      <c r="B693" s="25" t="s">
        <v>189</v>
      </c>
      <c r="C693" s="20">
        <v>7</v>
      </c>
      <c r="D693" s="20" t="s">
        <v>8</v>
      </c>
      <c r="E693" s="21">
        <v>1800</v>
      </c>
      <c r="F693" s="24">
        <f>C693*E693</f>
        <v>12600</v>
      </c>
    </row>
    <row r="694" spans="1:6" x14ac:dyDescent="0.25">
      <c r="A694" s="18"/>
      <c r="B694" s="44"/>
      <c r="C694" s="20"/>
      <c r="D694" s="20"/>
      <c r="E694" s="21"/>
      <c r="F694" s="24"/>
    </row>
    <row r="695" spans="1:6" x14ac:dyDescent="0.25">
      <c r="A695" s="18" t="s">
        <v>12</v>
      </c>
      <c r="B695" s="44" t="s">
        <v>190</v>
      </c>
      <c r="C695" s="20">
        <v>3</v>
      </c>
      <c r="D695" s="20" t="s">
        <v>8</v>
      </c>
      <c r="E695" s="21">
        <v>1800</v>
      </c>
      <c r="F695" s="24">
        <f>C695*E695</f>
        <v>5400</v>
      </c>
    </row>
    <row r="696" spans="1:6" x14ac:dyDescent="0.25">
      <c r="A696" s="18"/>
      <c r="B696" s="44"/>
      <c r="C696" s="20"/>
      <c r="D696" s="20"/>
      <c r="E696" s="21"/>
      <c r="F696" s="24"/>
    </row>
    <row r="697" spans="1:6" x14ac:dyDescent="0.25">
      <c r="A697" s="18"/>
      <c r="B697" s="44"/>
      <c r="C697" s="20"/>
      <c r="D697" s="20"/>
      <c r="E697" s="21"/>
      <c r="F697" s="24"/>
    </row>
    <row r="698" spans="1:6" x14ac:dyDescent="0.25">
      <c r="A698" s="18"/>
      <c r="B698" s="44"/>
      <c r="C698" s="20"/>
      <c r="D698" s="20"/>
      <c r="E698" s="21"/>
      <c r="F698" s="24"/>
    </row>
    <row r="699" spans="1:6" x14ac:dyDescent="0.25">
      <c r="A699" s="18"/>
      <c r="B699" s="44"/>
      <c r="C699" s="20"/>
      <c r="D699" s="20"/>
      <c r="E699" s="21"/>
      <c r="F699" s="24"/>
    </row>
    <row r="700" spans="1:6" x14ac:dyDescent="0.25">
      <c r="A700" s="18"/>
      <c r="B700" s="44"/>
      <c r="C700" s="20"/>
      <c r="D700" s="20"/>
      <c r="E700" s="21"/>
      <c r="F700" s="24"/>
    </row>
    <row r="701" spans="1:6" x14ac:dyDescent="0.25">
      <c r="A701" s="18"/>
      <c r="B701" s="44"/>
      <c r="C701" s="20"/>
      <c r="D701" s="20"/>
      <c r="E701" s="21"/>
      <c r="F701" s="24"/>
    </row>
    <row r="702" spans="1:6" x14ac:dyDescent="0.25">
      <c r="A702" s="18"/>
      <c r="B702" s="44"/>
      <c r="C702" s="20"/>
      <c r="D702" s="20"/>
      <c r="E702" s="21"/>
      <c r="F702" s="24"/>
    </row>
    <row r="703" spans="1:6" x14ac:dyDescent="0.25">
      <c r="A703" s="18"/>
      <c r="B703" s="44"/>
      <c r="C703" s="20"/>
      <c r="D703" s="20"/>
      <c r="E703" s="21"/>
      <c r="F703" s="24"/>
    </row>
    <row r="704" spans="1:6" ht="15.75" thickBot="1" x14ac:dyDescent="0.3">
      <c r="A704" s="100"/>
      <c r="B704" s="101" t="s">
        <v>56</v>
      </c>
      <c r="C704" s="102"/>
      <c r="D704" s="102"/>
      <c r="E704" s="103"/>
      <c r="F704" s="104">
        <f>SUM(F681:F695)</f>
        <v>62850</v>
      </c>
    </row>
    <row r="705" spans="1:6" x14ac:dyDescent="0.25">
      <c r="A705" s="160" t="s">
        <v>0</v>
      </c>
      <c r="B705" s="161" t="s">
        <v>1</v>
      </c>
      <c r="C705" s="162" t="s">
        <v>2</v>
      </c>
      <c r="D705" s="162" t="s">
        <v>3</v>
      </c>
      <c r="E705" s="163" t="s">
        <v>4</v>
      </c>
      <c r="F705" s="164" t="s">
        <v>5</v>
      </c>
    </row>
    <row r="706" spans="1:6" x14ac:dyDescent="0.25">
      <c r="A706" s="18"/>
      <c r="B706" s="44"/>
      <c r="C706" s="20"/>
      <c r="D706" s="20"/>
      <c r="E706" s="21"/>
      <c r="F706" s="24"/>
    </row>
    <row r="707" spans="1:6" x14ac:dyDescent="0.25">
      <c r="A707" s="181"/>
      <c r="B707" s="82" t="s">
        <v>191</v>
      </c>
      <c r="C707" s="182"/>
      <c r="D707" s="182"/>
      <c r="E707" s="183"/>
      <c r="F707" s="184"/>
    </row>
    <row r="708" spans="1:6" x14ac:dyDescent="0.25">
      <c r="A708" s="181"/>
      <c r="B708" s="185"/>
      <c r="C708" s="182"/>
      <c r="D708" s="182"/>
      <c r="E708" s="183"/>
      <c r="F708" s="184"/>
    </row>
    <row r="709" spans="1:6" ht="51" x14ac:dyDescent="0.25">
      <c r="A709" s="91" t="s">
        <v>7</v>
      </c>
      <c r="B709" s="27" t="s">
        <v>192</v>
      </c>
      <c r="C709" s="92">
        <v>10</v>
      </c>
      <c r="D709" s="92" t="s">
        <v>8</v>
      </c>
      <c r="E709" s="95">
        <v>4950</v>
      </c>
      <c r="F709" s="93">
        <f>C709*E709</f>
        <v>49500</v>
      </c>
    </row>
    <row r="710" spans="1:6" x14ac:dyDescent="0.25">
      <c r="A710" s="181"/>
      <c r="B710" s="185"/>
      <c r="C710" s="182"/>
      <c r="D710" s="182"/>
      <c r="E710" s="183"/>
      <c r="F710" s="184"/>
    </row>
    <row r="711" spans="1:6" ht="26.25" x14ac:dyDescent="0.25">
      <c r="A711" s="18"/>
      <c r="B711" s="19" t="s">
        <v>193</v>
      </c>
      <c r="C711" s="20"/>
      <c r="D711" s="20"/>
      <c r="E711" s="21"/>
      <c r="F711" s="24"/>
    </row>
    <row r="712" spans="1:6" x14ac:dyDescent="0.25">
      <c r="A712" s="18"/>
      <c r="B712" s="186"/>
      <c r="C712" s="20"/>
      <c r="D712" s="20"/>
      <c r="E712" s="21"/>
      <c r="F712" s="24"/>
    </row>
    <row r="713" spans="1:6" x14ac:dyDescent="0.25">
      <c r="A713" s="18" t="s">
        <v>9</v>
      </c>
      <c r="B713" s="187" t="s">
        <v>194</v>
      </c>
      <c r="C713" s="20">
        <v>3</v>
      </c>
      <c r="D713" s="20" t="s">
        <v>68</v>
      </c>
      <c r="E713" s="21">
        <f>0.15*0.025*388000</f>
        <v>1455</v>
      </c>
      <c r="F713" s="24">
        <f>C713*E713</f>
        <v>4365</v>
      </c>
    </row>
    <row r="714" spans="1:6" x14ac:dyDescent="0.25">
      <c r="A714" s="18"/>
      <c r="B714" s="44"/>
      <c r="C714" s="20"/>
      <c r="D714" s="20"/>
      <c r="E714" s="21"/>
      <c r="F714" s="24"/>
    </row>
    <row r="715" spans="1:6" x14ac:dyDescent="0.25">
      <c r="A715" s="18"/>
      <c r="B715" s="44"/>
      <c r="C715" s="20"/>
      <c r="D715" s="20"/>
      <c r="E715" s="21"/>
      <c r="F715" s="24"/>
    </row>
    <row r="716" spans="1:6" x14ac:dyDescent="0.25">
      <c r="A716" s="91"/>
      <c r="B716" s="23" t="s">
        <v>195</v>
      </c>
      <c r="C716" s="92"/>
      <c r="D716" s="92"/>
      <c r="E716" s="92"/>
      <c r="F716" s="93"/>
    </row>
    <row r="717" spans="1:6" x14ac:dyDescent="0.25">
      <c r="A717" s="91"/>
      <c r="B717" s="23"/>
      <c r="C717" s="92"/>
      <c r="D717" s="92"/>
      <c r="E717" s="92"/>
      <c r="F717" s="93"/>
    </row>
    <row r="718" spans="1:6" ht="39" x14ac:dyDescent="0.25">
      <c r="A718" s="91"/>
      <c r="B718" s="23" t="s">
        <v>196</v>
      </c>
      <c r="C718" s="92"/>
      <c r="D718" s="92"/>
      <c r="E718" s="92"/>
      <c r="F718" s="93"/>
    </row>
    <row r="719" spans="1:6" x14ac:dyDescent="0.25">
      <c r="A719" s="91"/>
      <c r="B719" s="25"/>
      <c r="C719" s="92"/>
      <c r="D719" s="92"/>
      <c r="E719" s="92"/>
      <c r="F719" s="93"/>
    </row>
    <row r="720" spans="1:6" ht="26.25" x14ac:dyDescent="0.25">
      <c r="A720" s="91" t="s">
        <v>10</v>
      </c>
      <c r="B720" s="25" t="s">
        <v>197</v>
      </c>
      <c r="C720" s="92">
        <f>C709</f>
        <v>10</v>
      </c>
      <c r="D720" s="92" t="s">
        <v>8</v>
      </c>
      <c r="E720" s="92">
        <v>300</v>
      </c>
      <c r="F720" s="93">
        <f>C720*E720</f>
        <v>3000</v>
      </c>
    </row>
    <row r="721" spans="1:6" x14ac:dyDescent="0.25">
      <c r="A721" s="91"/>
      <c r="B721" s="25"/>
      <c r="C721" s="92"/>
      <c r="D721" s="92"/>
      <c r="E721" s="92"/>
      <c r="F721" s="93"/>
    </row>
    <row r="722" spans="1:6" ht="26.25" x14ac:dyDescent="0.25">
      <c r="A722" s="91" t="s">
        <v>11</v>
      </c>
      <c r="B722" s="25" t="s">
        <v>198</v>
      </c>
      <c r="C722" s="92">
        <f>C709</f>
        <v>10</v>
      </c>
      <c r="D722" s="92" t="s">
        <v>8</v>
      </c>
      <c r="E722" s="92">
        <v>300</v>
      </c>
      <c r="F722" s="93">
        <f>PRODUCT(C720:E720)</f>
        <v>3000</v>
      </c>
    </row>
    <row r="723" spans="1:6" x14ac:dyDescent="0.25">
      <c r="A723" s="18"/>
      <c r="B723" s="186"/>
      <c r="C723" s="20"/>
      <c r="D723" s="20"/>
      <c r="E723" s="21"/>
      <c r="F723" s="24"/>
    </row>
    <row r="724" spans="1:6" ht="15.75" thickBot="1" x14ac:dyDescent="0.3">
      <c r="A724" s="100"/>
      <c r="B724" s="101" t="s">
        <v>56</v>
      </c>
      <c r="C724" s="102"/>
      <c r="D724" s="102"/>
      <c r="E724" s="103"/>
      <c r="F724" s="104">
        <f>SUM(F709:F722)</f>
        <v>59865</v>
      </c>
    </row>
    <row r="725" spans="1:6" x14ac:dyDescent="0.25">
      <c r="A725" s="18"/>
      <c r="B725" s="44"/>
      <c r="C725" s="20"/>
      <c r="D725" s="20"/>
      <c r="E725" s="21"/>
      <c r="F725" s="24"/>
    </row>
    <row r="726" spans="1:6" x14ac:dyDescent="0.25">
      <c r="A726" s="18"/>
      <c r="B726" s="158" t="s">
        <v>315</v>
      </c>
      <c r="C726" s="20"/>
      <c r="D726" s="20"/>
      <c r="E726" s="21"/>
      <c r="F726" s="159">
        <f>F704</f>
        <v>62850</v>
      </c>
    </row>
    <row r="727" spans="1:6" x14ac:dyDescent="0.25">
      <c r="A727" s="18"/>
      <c r="B727" s="44"/>
      <c r="C727" s="20"/>
      <c r="D727" s="20"/>
      <c r="E727" s="21"/>
      <c r="F727" s="159"/>
    </row>
    <row r="728" spans="1:6" x14ac:dyDescent="0.25">
      <c r="A728" s="18"/>
      <c r="B728" s="158" t="s">
        <v>314</v>
      </c>
      <c r="C728" s="20"/>
      <c r="D728" s="20"/>
      <c r="E728" s="21"/>
      <c r="F728" s="159">
        <f>F724</f>
        <v>59865</v>
      </c>
    </row>
    <row r="729" spans="1:6" x14ac:dyDescent="0.25">
      <c r="A729" s="18"/>
      <c r="B729" s="44"/>
      <c r="C729" s="20"/>
      <c r="D729" s="20"/>
      <c r="E729" s="21"/>
      <c r="F729" s="24"/>
    </row>
    <row r="730" spans="1:6" x14ac:dyDescent="0.25">
      <c r="A730" s="18"/>
      <c r="B730" s="44"/>
      <c r="C730" s="20"/>
      <c r="D730" s="20"/>
      <c r="E730" s="21"/>
      <c r="F730" s="24"/>
    </row>
    <row r="731" spans="1:6" x14ac:dyDescent="0.25">
      <c r="A731" s="18"/>
      <c r="B731" s="44"/>
      <c r="C731" s="20"/>
      <c r="D731" s="20"/>
      <c r="E731" s="21"/>
      <c r="F731" s="24"/>
    </row>
    <row r="732" spans="1:6" x14ac:dyDescent="0.25">
      <c r="A732" s="18"/>
      <c r="B732" s="44"/>
      <c r="C732" s="20"/>
      <c r="D732" s="20"/>
      <c r="E732" s="21"/>
      <c r="F732" s="24"/>
    </row>
    <row r="733" spans="1:6" x14ac:dyDescent="0.25">
      <c r="A733" s="18"/>
      <c r="B733" s="44"/>
      <c r="C733" s="20"/>
      <c r="D733" s="20"/>
      <c r="E733" s="21"/>
      <c r="F733" s="24"/>
    </row>
    <row r="734" spans="1:6" x14ac:dyDescent="0.25">
      <c r="A734" s="18"/>
      <c r="B734" s="44"/>
      <c r="C734" s="20"/>
      <c r="D734" s="20"/>
      <c r="E734" s="21"/>
      <c r="F734" s="24"/>
    </row>
    <row r="735" spans="1:6" x14ac:dyDescent="0.25">
      <c r="A735" s="18"/>
      <c r="B735" s="44"/>
      <c r="C735" s="20"/>
      <c r="D735" s="20"/>
      <c r="E735" s="21"/>
      <c r="F735" s="24"/>
    </row>
    <row r="736" spans="1:6" x14ac:dyDescent="0.25">
      <c r="A736" s="18"/>
      <c r="B736" s="44"/>
      <c r="C736" s="20"/>
      <c r="D736" s="20"/>
      <c r="E736" s="21"/>
      <c r="F736" s="24"/>
    </row>
    <row r="737" spans="1:6" x14ac:dyDescent="0.25">
      <c r="A737" s="18"/>
      <c r="B737" s="44"/>
      <c r="C737" s="20"/>
      <c r="D737" s="20"/>
      <c r="E737" s="21"/>
      <c r="F737" s="24"/>
    </row>
    <row r="738" spans="1:6" x14ac:dyDescent="0.25">
      <c r="A738" s="18"/>
      <c r="B738" s="44"/>
      <c r="C738" s="20"/>
      <c r="D738" s="20"/>
      <c r="E738" s="21"/>
      <c r="F738" s="24"/>
    </row>
    <row r="739" spans="1:6" x14ac:dyDescent="0.25">
      <c r="A739" s="18"/>
      <c r="B739" s="44"/>
      <c r="C739" s="20"/>
      <c r="D739" s="20"/>
      <c r="E739" s="21"/>
      <c r="F739" s="24"/>
    </row>
    <row r="740" spans="1:6" x14ac:dyDescent="0.25">
      <c r="A740" s="18"/>
      <c r="B740" s="44"/>
      <c r="C740" s="20"/>
      <c r="D740" s="20"/>
      <c r="E740" s="21"/>
      <c r="F740" s="24"/>
    </row>
    <row r="741" spans="1:6" x14ac:dyDescent="0.25">
      <c r="A741" s="18"/>
      <c r="B741" s="44"/>
      <c r="C741" s="20"/>
      <c r="D741" s="20"/>
      <c r="E741" s="21"/>
      <c r="F741" s="24"/>
    </row>
    <row r="742" spans="1:6" x14ac:dyDescent="0.25">
      <c r="A742" s="18"/>
      <c r="B742" s="44"/>
      <c r="C742" s="20"/>
      <c r="D742" s="20"/>
      <c r="E742" s="21"/>
      <c r="F742" s="24"/>
    </row>
    <row r="743" spans="1:6" x14ac:dyDescent="0.25">
      <c r="A743" s="18"/>
      <c r="B743" s="44"/>
      <c r="C743" s="20"/>
      <c r="D743" s="20"/>
      <c r="E743" s="21"/>
      <c r="F743" s="24"/>
    </row>
    <row r="744" spans="1:6" ht="26.25" thickBot="1" x14ac:dyDescent="0.3">
      <c r="A744" s="100"/>
      <c r="B744" s="129" t="s">
        <v>199</v>
      </c>
      <c r="C744" s="102"/>
      <c r="D744" s="102"/>
      <c r="E744" s="103"/>
      <c r="F744" s="104">
        <f>SUM(F726:F728)</f>
        <v>122715</v>
      </c>
    </row>
    <row r="745" spans="1:6" x14ac:dyDescent="0.25">
      <c r="A745" s="160" t="s">
        <v>0</v>
      </c>
      <c r="B745" s="161" t="s">
        <v>1</v>
      </c>
      <c r="C745" s="162" t="s">
        <v>2</v>
      </c>
      <c r="D745" s="162" t="s">
        <v>3</v>
      </c>
      <c r="E745" s="163" t="s">
        <v>4</v>
      </c>
      <c r="F745" s="164" t="s">
        <v>5</v>
      </c>
    </row>
    <row r="747" spans="1:6" x14ac:dyDescent="0.25">
      <c r="A747" s="18"/>
      <c r="B747" s="45" t="s">
        <v>201</v>
      </c>
      <c r="C747" s="20"/>
      <c r="D747" s="20"/>
      <c r="E747" s="21"/>
      <c r="F747" s="24"/>
    </row>
    <row r="748" spans="1:6" x14ac:dyDescent="0.25">
      <c r="A748" s="18"/>
      <c r="B748" s="44"/>
      <c r="C748" s="20"/>
      <c r="D748" s="20"/>
      <c r="E748" s="21"/>
      <c r="F748" s="24"/>
    </row>
    <row r="749" spans="1:6" x14ac:dyDescent="0.25">
      <c r="A749" s="18"/>
      <c r="B749" s="45" t="s">
        <v>202</v>
      </c>
      <c r="C749" s="20"/>
      <c r="D749" s="20"/>
      <c r="E749" s="21"/>
      <c r="F749" s="24"/>
    </row>
    <row r="750" spans="1:6" x14ac:dyDescent="0.25">
      <c r="A750" s="18"/>
      <c r="B750" s="44"/>
      <c r="C750" s="20"/>
      <c r="D750" s="20"/>
      <c r="E750" s="21"/>
      <c r="F750" s="24"/>
    </row>
    <row r="751" spans="1:6" ht="268.5" x14ac:dyDescent="0.25">
      <c r="A751" s="18"/>
      <c r="B751" s="154" t="s">
        <v>203</v>
      </c>
      <c r="C751" s="20"/>
      <c r="D751" s="20"/>
      <c r="E751" s="21"/>
      <c r="F751" s="24"/>
    </row>
    <row r="752" spans="1:6" x14ac:dyDescent="0.25">
      <c r="A752" s="18"/>
      <c r="B752" s="44"/>
      <c r="C752" s="20"/>
      <c r="D752" s="20"/>
      <c r="E752" s="21"/>
      <c r="F752" s="24"/>
    </row>
    <row r="753" spans="1:6" ht="64.5" x14ac:dyDescent="0.25">
      <c r="A753" s="18" t="s">
        <v>7</v>
      </c>
      <c r="B753" s="25" t="s">
        <v>207</v>
      </c>
      <c r="C753" s="20">
        <v>2</v>
      </c>
      <c r="D753" s="20" t="s">
        <v>82</v>
      </c>
      <c r="E753" s="21">
        <v>18600</v>
      </c>
      <c r="F753" s="24">
        <f>C753*E753</f>
        <v>37200</v>
      </c>
    </row>
    <row r="754" spans="1:6" x14ac:dyDescent="0.25">
      <c r="A754" s="18"/>
      <c r="B754" s="44"/>
      <c r="C754" s="20"/>
      <c r="D754" s="20"/>
      <c r="E754" s="21"/>
      <c r="F754" s="24"/>
    </row>
    <row r="755" spans="1:6" x14ac:dyDescent="0.25">
      <c r="A755" s="18"/>
      <c r="B755" s="23" t="s">
        <v>188</v>
      </c>
      <c r="C755" s="20"/>
      <c r="D755" s="20"/>
      <c r="E755" s="21"/>
      <c r="F755" s="24"/>
    </row>
    <row r="756" spans="1:6" x14ac:dyDescent="0.25">
      <c r="A756" s="18"/>
      <c r="B756" s="173"/>
      <c r="C756" s="20"/>
      <c r="D756" s="20"/>
      <c r="E756" s="21"/>
      <c r="F756" s="24"/>
    </row>
    <row r="757" spans="1:6" ht="39" x14ac:dyDescent="0.25">
      <c r="A757" s="18" t="s">
        <v>9</v>
      </c>
      <c r="B757" s="25" t="s">
        <v>204</v>
      </c>
      <c r="C757" s="20">
        <v>1</v>
      </c>
      <c r="D757" s="20" t="s">
        <v>8</v>
      </c>
      <c r="E757" s="21">
        <v>1800</v>
      </c>
      <c r="F757" s="24">
        <f>C757*E757</f>
        <v>1800</v>
      </c>
    </row>
    <row r="758" spans="1:6" x14ac:dyDescent="0.25">
      <c r="A758" s="18"/>
      <c r="B758" s="25"/>
      <c r="C758" s="20"/>
      <c r="D758" s="20"/>
      <c r="E758" s="21"/>
      <c r="F758" s="24"/>
    </row>
    <row r="759" spans="1:6" x14ac:dyDescent="0.25">
      <c r="A759" s="18"/>
      <c r="B759" s="23" t="s">
        <v>195</v>
      </c>
      <c r="C759" s="20"/>
      <c r="D759" s="20"/>
      <c r="E759" s="21"/>
      <c r="F759" s="24"/>
    </row>
    <row r="760" spans="1:6" x14ac:dyDescent="0.25">
      <c r="A760" s="18"/>
      <c r="B760" s="188"/>
      <c r="C760" s="20"/>
      <c r="D760" s="20"/>
      <c r="E760" s="21"/>
      <c r="F760" s="24"/>
    </row>
    <row r="761" spans="1:6" ht="64.5" x14ac:dyDescent="0.25">
      <c r="A761" s="18"/>
      <c r="B761" s="189" t="s">
        <v>205</v>
      </c>
      <c r="C761" s="20"/>
      <c r="D761" s="20"/>
      <c r="E761" s="21"/>
      <c r="F761" s="24"/>
    </row>
    <row r="762" spans="1:6" x14ac:dyDescent="0.25">
      <c r="A762" s="18"/>
      <c r="B762" s="190"/>
      <c r="C762" s="20"/>
      <c r="D762" s="20"/>
      <c r="E762" s="21"/>
      <c r="F762" s="24"/>
    </row>
    <row r="763" spans="1:6" ht="26.25" x14ac:dyDescent="0.25">
      <c r="A763" s="18" t="s">
        <v>10</v>
      </c>
      <c r="B763" s="191" t="s">
        <v>206</v>
      </c>
      <c r="C763" s="20">
        <v>5</v>
      </c>
      <c r="D763" s="20" t="s">
        <v>8</v>
      </c>
      <c r="E763" s="21">
        <v>450</v>
      </c>
      <c r="F763" s="24">
        <f>C763*E763</f>
        <v>2250</v>
      </c>
    </row>
    <row r="764" spans="1:6" x14ac:dyDescent="0.25">
      <c r="A764" s="18"/>
      <c r="B764" s="25"/>
      <c r="C764" s="20"/>
      <c r="D764" s="20"/>
      <c r="E764" s="21"/>
      <c r="F764" s="24"/>
    </row>
    <row r="765" spans="1:6" x14ac:dyDescent="0.25">
      <c r="A765" s="18"/>
      <c r="B765" s="131"/>
      <c r="C765" s="20"/>
      <c r="D765" s="20"/>
      <c r="E765" s="21"/>
      <c r="F765" s="24"/>
    </row>
    <row r="766" spans="1:6" ht="15.75" thickBot="1" x14ac:dyDescent="0.3">
      <c r="A766" s="100"/>
      <c r="B766" s="101" t="s">
        <v>56</v>
      </c>
      <c r="C766" s="102"/>
      <c r="D766" s="102"/>
      <c r="E766" s="103"/>
      <c r="F766" s="104">
        <f>SUM(F753:F763)</f>
        <v>41250</v>
      </c>
    </row>
    <row r="767" spans="1:6" x14ac:dyDescent="0.25">
      <c r="A767" s="160" t="s">
        <v>0</v>
      </c>
      <c r="B767" s="161" t="s">
        <v>1</v>
      </c>
      <c r="C767" s="162" t="s">
        <v>2</v>
      </c>
      <c r="D767" s="162" t="s">
        <v>3</v>
      </c>
      <c r="E767" s="163" t="s">
        <v>4</v>
      </c>
      <c r="F767" s="164" t="s">
        <v>5</v>
      </c>
    </row>
    <row r="768" spans="1:6" x14ac:dyDescent="0.25">
      <c r="A768" s="73"/>
      <c r="B768" s="90"/>
      <c r="C768" s="74"/>
      <c r="D768" s="74"/>
      <c r="E768" s="75"/>
      <c r="F768" s="76"/>
    </row>
    <row r="769" spans="1:6" x14ac:dyDescent="0.25">
      <c r="A769" s="18"/>
      <c r="B769" s="193" t="s">
        <v>208</v>
      </c>
      <c r="C769" s="20"/>
      <c r="D769" s="20"/>
      <c r="E769" s="21"/>
      <c r="F769" s="24"/>
    </row>
    <row r="770" spans="1:6" x14ac:dyDescent="0.25">
      <c r="A770" s="18"/>
      <c r="B770" s="165"/>
      <c r="C770" s="20"/>
      <c r="D770" s="20"/>
      <c r="E770" s="21"/>
      <c r="F770" s="24"/>
    </row>
    <row r="771" spans="1:6" ht="64.5" x14ac:dyDescent="0.25">
      <c r="A771" s="18"/>
      <c r="B771" s="19" t="s">
        <v>209</v>
      </c>
      <c r="C771" s="20"/>
      <c r="D771" s="20"/>
      <c r="E771" s="21"/>
      <c r="F771" s="24"/>
    </row>
    <row r="772" spans="1:6" x14ac:dyDescent="0.25">
      <c r="A772" s="18"/>
      <c r="B772" s="165"/>
      <c r="C772" s="20"/>
      <c r="D772" s="20"/>
      <c r="E772" s="21"/>
      <c r="F772" s="24"/>
    </row>
    <row r="773" spans="1:6" ht="25.5" x14ac:dyDescent="0.25">
      <c r="A773" s="18" t="s">
        <v>7</v>
      </c>
      <c r="B773" s="46" t="s">
        <v>210</v>
      </c>
      <c r="C773" s="20">
        <v>4</v>
      </c>
      <c r="D773" s="20" t="s">
        <v>82</v>
      </c>
      <c r="E773" s="21">
        <v>5750</v>
      </c>
      <c r="F773" s="24">
        <f>E773*C773</f>
        <v>23000</v>
      </c>
    </row>
    <row r="774" spans="1:6" x14ac:dyDescent="0.25">
      <c r="A774" s="18"/>
      <c r="B774" s="94"/>
      <c r="C774" s="20"/>
      <c r="D774" s="20"/>
      <c r="E774" s="21"/>
      <c r="F774" s="24"/>
    </row>
    <row r="775" spans="1:6" ht="51.75" x14ac:dyDescent="0.25">
      <c r="A775" s="18"/>
      <c r="B775" s="19" t="s">
        <v>211</v>
      </c>
      <c r="C775" s="20"/>
      <c r="D775" s="20"/>
      <c r="E775" s="21"/>
      <c r="F775" s="24"/>
    </row>
    <row r="776" spans="1:6" x14ac:dyDescent="0.25">
      <c r="A776" s="18"/>
      <c r="B776" s="94"/>
      <c r="C776" s="20"/>
      <c r="D776" s="20"/>
      <c r="E776" s="21"/>
      <c r="F776" s="24"/>
    </row>
    <row r="777" spans="1:6" x14ac:dyDescent="0.25">
      <c r="A777" s="18" t="s">
        <v>9</v>
      </c>
      <c r="B777" s="187" t="s">
        <v>212</v>
      </c>
      <c r="C777" s="92">
        <v>21</v>
      </c>
      <c r="D777" s="92" t="s">
        <v>68</v>
      </c>
      <c r="E777" s="95">
        <v>450</v>
      </c>
      <c r="F777" s="24">
        <f>C777*E777</f>
        <v>9450</v>
      </c>
    </row>
    <row r="778" spans="1:6" x14ac:dyDescent="0.25">
      <c r="A778" s="18"/>
      <c r="B778" s="94"/>
      <c r="C778" s="20"/>
      <c r="D778" s="20"/>
      <c r="E778" s="21"/>
      <c r="F778" s="24"/>
    </row>
    <row r="779" spans="1:6" x14ac:dyDescent="0.25">
      <c r="A779" s="18" t="s">
        <v>10</v>
      </c>
      <c r="B779" s="187" t="s">
        <v>213</v>
      </c>
      <c r="C779" s="92">
        <v>21</v>
      </c>
      <c r="D779" s="92" t="s">
        <v>68</v>
      </c>
      <c r="E779" s="95">
        <v>275</v>
      </c>
      <c r="F779" s="24">
        <f>C779*E779</f>
        <v>5775</v>
      </c>
    </row>
    <row r="780" spans="1:6" x14ac:dyDescent="0.25">
      <c r="A780" s="18"/>
      <c r="B780" s="94"/>
      <c r="C780" s="20"/>
      <c r="D780" s="20"/>
      <c r="E780" s="21"/>
      <c r="F780" s="24"/>
    </row>
    <row r="781" spans="1:6" x14ac:dyDescent="0.25">
      <c r="A781" s="91" t="s">
        <v>11</v>
      </c>
      <c r="B781" s="187" t="s">
        <v>214</v>
      </c>
      <c r="C781" s="92">
        <v>21</v>
      </c>
      <c r="D781" s="92" t="s">
        <v>68</v>
      </c>
      <c r="E781" s="95">
        <v>100</v>
      </c>
      <c r="F781" s="24">
        <f>C781*E781</f>
        <v>2100</v>
      </c>
    </row>
    <row r="782" spans="1:6" x14ac:dyDescent="0.25">
      <c r="A782" s="91"/>
      <c r="B782" s="23"/>
      <c r="C782" s="92"/>
      <c r="D782" s="92"/>
      <c r="E782" s="95"/>
      <c r="F782" s="24"/>
    </row>
    <row r="783" spans="1:6" ht="64.5" x14ac:dyDescent="0.25">
      <c r="A783" s="18"/>
      <c r="B783" s="19" t="s">
        <v>215</v>
      </c>
      <c r="C783" s="20"/>
      <c r="D783" s="20"/>
      <c r="E783" s="21"/>
      <c r="F783" s="24"/>
    </row>
    <row r="784" spans="1:6" x14ac:dyDescent="0.25">
      <c r="A784" s="18"/>
      <c r="B784" s="194"/>
      <c r="C784" s="20"/>
      <c r="D784" s="20"/>
      <c r="E784" s="21"/>
      <c r="F784" s="24"/>
    </row>
    <row r="785" spans="1:6" x14ac:dyDescent="0.25">
      <c r="A785" s="18" t="s">
        <v>12</v>
      </c>
      <c r="B785" s="187" t="s">
        <v>216</v>
      </c>
      <c r="C785" s="20">
        <f>C777</f>
        <v>21</v>
      </c>
      <c r="D785" s="20" t="s">
        <v>68</v>
      </c>
      <c r="E785" s="21">
        <v>200</v>
      </c>
      <c r="F785" s="24">
        <f>C785*E785</f>
        <v>4200</v>
      </c>
    </row>
    <row r="786" spans="1:6" x14ac:dyDescent="0.25">
      <c r="A786" s="18"/>
      <c r="B786" s="44"/>
      <c r="C786" s="20"/>
      <c r="D786" s="20"/>
      <c r="E786" s="21"/>
      <c r="F786" s="24"/>
    </row>
    <row r="787" spans="1:6" ht="39" x14ac:dyDescent="0.25">
      <c r="A787" s="18"/>
      <c r="B787" s="19" t="s">
        <v>217</v>
      </c>
      <c r="C787" s="20"/>
      <c r="D787" s="20"/>
      <c r="E787" s="21"/>
      <c r="F787" s="24"/>
    </row>
    <row r="788" spans="1:6" x14ac:dyDescent="0.25">
      <c r="A788" s="18"/>
      <c r="B788" s="44"/>
      <c r="C788" s="20"/>
      <c r="D788" s="20"/>
      <c r="E788" s="21"/>
      <c r="F788" s="24"/>
    </row>
    <row r="789" spans="1:6" x14ac:dyDescent="0.25">
      <c r="A789" s="18" t="s">
        <v>27</v>
      </c>
      <c r="B789" s="187" t="s">
        <v>216</v>
      </c>
      <c r="C789" s="20">
        <f>C777</f>
        <v>21</v>
      </c>
      <c r="D789" s="20" t="s">
        <v>68</v>
      </c>
      <c r="E789" s="21">
        <v>200</v>
      </c>
      <c r="F789" s="24">
        <f>C789*E789</f>
        <v>4200</v>
      </c>
    </row>
    <row r="790" spans="1:6" x14ac:dyDescent="0.25">
      <c r="A790" s="18"/>
      <c r="B790" s="44"/>
      <c r="C790" s="20"/>
      <c r="D790" s="20"/>
      <c r="E790" s="21"/>
      <c r="F790" s="24"/>
    </row>
    <row r="791" spans="1:6" x14ac:dyDescent="0.25">
      <c r="A791" s="18" t="s">
        <v>61</v>
      </c>
      <c r="B791" s="187" t="s">
        <v>218</v>
      </c>
      <c r="C791" s="20">
        <v>17</v>
      </c>
      <c r="D791" s="20" t="s">
        <v>8</v>
      </c>
      <c r="E791" s="21">
        <v>350</v>
      </c>
      <c r="F791" s="24">
        <f>C791*E791</f>
        <v>5950</v>
      </c>
    </row>
    <row r="792" spans="1:6" x14ac:dyDescent="0.25">
      <c r="A792" s="18"/>
      <c r="B792" s="44"/>
      <c r="C792" s="20"/>
      <c r="D792" s="20"/>
      <c r="E792" s="21"/>
      <c r="F792" s="24"/>
    </row>
    <row r="793" spans="1:6" x14ac:dyDescent="0.25">
      <c r="A793" s="91"/>
      <c r="B793" s="23"/>
      <c r="C793" s="92"/>
      <c r="D793" s="92"/>
      <c r="E793" s="195"/>
      <c r="F793" s="93"/>
    </row>
    <row r="794" spans="1:6" x14ac:dyDescent="0.25">
      <c r="A794" s="91"/>
      <c r="B794" s="173"/>
      <c r="C794" s="92"/>
      <c r="D794" s="92"/>
      <c r="E794" s="195"/>
      <c r="F794" s="93"/>
    </row>
    <row r="795" spans="1:6" x14ac:dyDescent="0.25">
      <c r="A795" s="91"/>
      <c r="B795" s="121"/>
      <c r="C795" s="92"/>
      <c r="D795" s="92"/>
      <c r="E795" s="195"/>
      <c r="F795" s="93"/>
    </row>
    <row r="796" spans="1:6" x14ac:dyDescent="0.25">
      <c r="A796" s="18"/>
      <c r="B796" s="44"/>
      <c r="C796" s="20"/>
      <c r="D796" s="20"/>
      <c r="E796" s="21"/>
      <c r="F796" s="24"/>
    </row>
    <row r="797" spans="1:6" x14ac:dyDescent="0.25">
      <c r="A797" s="18"/>
      <c r="B797" s="44"/>
      <c r="C797" s="20"/>
      <c r="D797" s="20"/>
      <c r="E797" s="21"/>
      <c r="F797" s="24"/>
    </row>
    <row r="798" spans="1:6" x14ac:dyDescent="0.25">
      <c r="A798" s="18"/>
      <c r="B798" s="44"/>
      <c r="C798" s="20"/>
      <c r="D798" s="20"/>
      <c r="E798" s="21"/>
      <c r="F798" s="24"/>
    </row>
    <row r="799" spans="1:6" x14ac:dyDescent="0.25">
      <c r="A799" s="18"/>
      <c r="B799" s="187"/>
      <c r="C799" s="20"/>
      <c r="D799" s="20"/>
      <c r="E799" s="21"/>
      <c r="F799" s="24"/>
    </row>
    <row r="800" spans="1:6" x14ac:dyDescent="0.25">
      <c r="A800" s="91"/>
      <c r="B800" s="25"/>
      <c r="C800" s="92"/>
      <c r="D800" s="92"/>
      <c r="E800" s="95"/>
      <c r="F800" s="24"/>
    </row>
    <row r="801" spans="1:6" ht="15.75" thickBot="1" x14ac:dyDescent="0.3">
      <c r="A801" s="100"/>
      <c r="B801" s="101" t="s">
        <v>56</v>
      </c>
      <c r="C801" s="102"/>
      <c r="D801" s="102"/>
      <c r="E801" s="103"/>
      <c r="F801" s="104">
        <f>SUM(F773:F791)</f>
        <v>54675</v>
      </c>
    </row>
    <row r="802" spans="1:6" x14ac:dyDescent="0.25">
      <c r="A802" s="160" t="s">
        <v>0</v>
      </c>
      <c r="B802" s="161" t="s">
        <v>1</v>
      </c>
      <c r="C802" s="162" t="s">
        <v>2</v>
      </c>
      <c r="D802" s="162" t="s">
        <v>3</v>
      </c>
      <c r="E802" s="163" t="s">
        <v>4</v>
      </c>
      <c r="F802" s="164" t="s">
        <v>5</v>
      </c>
    </row>
    <row r="803" spans="1:6" x14ac:dyDescent="0.25">
      <c r="A803" s="18"/>
      <c r="B803" s="44"/>
      <c r="C803" s="20"/>
      <c r="D803" s="20"/>
      <c r="E803" s="21"/>
      <c r="F803" s="24"/>
    </row>
    <row r="804" spans="1:6" ht="77.25" x14ac:dyDescent="0.25">
      <c r="A804" s="18"/>
      <c r="B804" s="19" t="s">
        <v>219</v>
      </c>
      <c r="C804" s="20"/>
      <c r="D804" s="20"/>
      <c r="E804" s="21"/>
      <c r="F804" s="24"/>
    </row>
    <row r="805" spans="1:6" x14ac:dyDescent="0.25">
      <c r="A805" s="18"/>
      <c r="B805" s="44"/>
      <c r="C805" s="20"/>
      <c r="D805" s="20"/>
      <c r="E805" s="21"/>
      <c r="F805" s="24"/>
    </row>
    <row r="806" spans="1:6" x14ac:dyDescent="0.25">
      <c r="A806" s="18" t="s">
        <v>7</v>
      </c>
      <c r="B806" s="187" t="s">
        <v>220</v>
      </c>
      <c r="C806" s="20">
        <v>6</v>
      </c>
      <c r="D806" s="20" t="s">
        <v>221</v>
      </c>
      <c r="E806" s="21">
        <v>300</v>
      </c>
      <c r="F806" s="24">
        <f>C806*E806</f>
        <v>1800</v>
      </c>
    </row>
    <row r="807" spans="1:6" x14ac:dyDescent="0.25">
      <c r="A807" s="18"/>
      <c r="B807" s="44"/>
      <c r="C807" s="20"/>
      <c r="D807" s="20"/>
      <c r="E807" s="21"/>
      <c r="F807" s="24"/>
    </row>
    <row r="808" spans="1:6" ht="26.25" x14ac:dyDescent="0.25">
      <c r="A808" s="18" t="s">
        <v>9</v>
      </c>
      <c r="B808" s="121" t="s">
        <v>222</v>
      </c>
      <c r="C808" s="20">
        <v>4</v>
      </c>
      <c r="D808" s="20" t="s">
        <v>82</v>
      </c>
      <c r="E808" s="21">
        <v>3850</v>
      </c>
      <c r="F808" s="24">
        <f>C808*E808</f>
        <v>15400</v>
      </c>
    </row>
    <row r="809" spans="1:6" x14ac:dyDescent="0.25">
      <c r="A809" s="18"/>
      <c r="B809" s="44"/>
      <c r="C809" s="20"/>
      <c r="D809" s="20"/>
      <c r="E809" s="21"/>
      <c r="F809" s="24"/>
    </row>
    <row r="810" spans="1:6" ht="51.75" x14ac:dyDescent="0.25">
      <c r="A810" s="18" t="s">
        <v>10</v>
      </c>
      <c r="B810" s="25" t="s">
        <v>223</v>
      </c>
      <c r="C810" s="20">
        <v>16</v>
      </c>
      <c r="D810" s="20" t="s">
        <v>82</v>
      </c>
      <c r="E810" s="21">
        <v>60</v>
      </c>
      <c r="F810" s="24">
        <f>C810*E810</f>
        <v>960</v>
      </c>
    </row>
    <row r="811" spans="1:6" x14ac:dyDescent="0.25">
      <c r="A811" s="18"/>
      <c r="B811" s="44"/>
      <c r="C811" s="20"/>
      <c r="D811" s="20"/>
      <c r="E811" s="21"/>
      <c r="F811" s="24"/>
    </row>
    <row r="812" spans="1:6" ht="26.25" x14ac:dyDescent="0.25">
      <c r="A812" s="18" t="s">
        <v>11</v>
      </c>
      <c r="B812" s="121" t="s">
        <v>224</v>
      </c>
      <c r="C812" s="20">
        <v>4</v>
      </c>
      <c r="D812" s="20" t="s">
        <v>82</v>
      </c>
      <c r="E812" s="21">
        <v>100</v>
      </c>
      <c r="F812" s="24">
        <f>C812*E812</f>
        <v>400</v>
      </c>
    </row>
    <row r="813" spans="1:6" x14ac:dyDescent="0.25">
      <c r="A813" s="18"/>
      <c r="B813" s="44"/>
      <c r="C813" s="20"/>
      <c r="D813" s="20"/>
      <c r="E813" s="21"/>
      <c r="F813" s="24"/>
    </row>
    <row r="814" spans="1:6" ht="15.75" thickBot="1" x14ac:dyDescent="0.3">
      <c r="A814" s="100"/>
      <c r="B814" s="101" t="s">
        <v>56</v>
      </c>
      <c r="C814" s="102"/>
      <c r="D814" s="102"/>
      <c r="E814" s="103"/>
      <c r="F814" s="104">
        <f>SUM(F806:F812)</f>
        <v>18560</v>
      </c>
    </row>
    <row r="815" spans="1:6" x14ac:dyDescent="0.25">
      <c r="A815" s="18"/>
      <c r="B815" s="190"/>
      <c r="C815" s="20"/>
      <c r="D815" s="20"/>
      <c r="E815" s="21"/>
      <c r="F815" s="24"/>
    </row>
    <row r="816" spans="1:6" x14ac:dyDescent="0.25">
      <c r="A816" s="18"/>
      <c r="B816" s="158" t="s">
        <v>318</v>
      </c>
      <c r="C816" s="20"/>
      <c r="D816" s="20"/>
      <c r="E816" s="21"/>
      <c r="F816" s="159">
        <f>F766</f>
        <v>41250</v>
      </c>
    </row>
    <row r="817" spans="1:6" x14ac:dyDescent="0.25">
      <c r="A817" s="18"/>
      <c r="B817" s="44"/>
      <c r="C817" s="20"/>
      <c r="D817" s="20"/>
      <c r="E817" s="21"/>
      <c r="F817" s="159"/>
    </row>
    <row r="818" spans="1:6" x14ac:dyDescent="0.25">
      <c r="A818" s="18"/>
      <c r="B818" s="158" t="s">
        <v>317</v>
      </c>
      <c r="C818" s="20"/>
      <c r="D818" s="20"/>
      <c r="E818" s="21"/>
      <c r="F818" s="159">
        <f>F801</f>
        <v>54675</v>
      </c>
    </row>
    <row r="819" spans="1:6" x14ac:dyDescent="0.25">
      <c r="A819" s="18"/>
      <c r="B819" s="44"/>
      <c r="C819" s="20"/>
      <c r="D819" s="20"/>
      <c r="E819" s="21"/>
      <c r="F819" s="159"/>
    </row>
    <row r="820" spans="1:6" x14ac:dyDescent="0.25">
      <c r="A820" s="18"/>
      <c r="B820" s="158" t="s">
        <v>316</v>
      </c>
      <c r="C820" s="20"/>
      <c r="D820" s="20"/>
      <c r="E820" s="21"/>
      <c r="F820" s="159">
        <f>F814</f>
        <v>18560</v>
      </c>
    </row>
    <row r="821" spans="1:6" x14ac:dyDescent="0.25">
      <c r="A821" s="18"/>
      <c r="B821" s="44"/>
      <c r="C821" s="20"/>
      <c r="D821" s="20"/>
      <c r="E821" s="21"/>
      <c r="F821" s="24"/>
    </row>
    <row r="822" spans="1:6" x14ac:dyDescent="0.25">
      <c r="A822" s="18"/>
      <c r="B822" s="44"/>
      <c r="C822" s="20"/>
      <c r="D822" s="20"/>
      <c r="E822" s="21"/>
      <c r="F822" s="24"/>
    </row>
    <row r="823" spans="1:6" x14ac:dyDescent="0.25">
      <c r="A823" s="18"/>
      <c r="B823" s="44"/>
      <c r="C823" s="20"/>
      <c r="D823" s="20"/>
      <c r="E823" s="21"/>
      <c r="F823" s="24"/>
    </row>
    <row r="824" spans="1:6" x14ac:dyDescent="0.25">
      <c r="A824" s="18"/>
      <c r="B824" s="44"/>
      <c r="C824" s="20"/>
      <c r="D824" s="20"/>
      <c r="E824" s="21"/>
      <c r="F824" s="24"/>
    </row>
    <row r="825" spans="1:6" x14ac:dyDescent="0.25">
      <c r="A825" s="18"/>
      <c r="B825" s="25"/>
      <c r="C825" s="20"/>
      <c r="D825" s="20"/>
      <c r="E825" s="21"/>
      <c r="F825" s="24"/>
    </row>
    <row r="826" spans="1:6" x14ac:dyDescent="0.25">
      <c r="A826" s="18"/>
      <c r="B826" s="121"/>
      <c r="C826" s="20"/>
      <c r="D826" s="20"/>
      <c r="E826" s="21"/>
      <c r="F826" s="24"/>
    </row>
    <row r="827" spans="1:6" x14ac:dyDescent="0.25">
      <c r="A827" s="18"/>
      <c r="B827" s="121"/>
      <c r="C827" s="20"/>
      <c r="D827" s="20"/>
      <c r="E827" s="21"/>
      <c r="F827" s="24"/>
    </row>
    <row r="828" spans="1:6" x14ac:dyDescent="0.25">
      <c r="A828" s="18"/>
      <c r="B828" s="121"/>
      <c r="C828" s="20"/>
      <c r="D828" s="20"/>
      <c r="E828" s="21"/>
      <c r="F828" s="24"/>
    </row>
    <row r="829" spans="1:6" x14ac:dyDescent="0.25">
      <c r="A829" s="18"/>
      <c r="B829" s="121"/>
      <c r="C829" s="20"/>
      <c r="D829" s="20"/>
      <c r="E829" s="21"/>
      <c r="F829" s="24"/>
    </row>
    <row r="830" spans="1:6" x14ac:dyDescent="0.25">
      <c r="A830" s="18"/>
      <c r="B830" s="121"/>
      <c r="C830" s="20"/>
      <c r="D830" s="20"/>
      <c r="E830" s="21"/>
      <c r="F830" s="24"/>
    </row>
    <row r="831" spans="1:6" x14ac:dyDescent="0.25">
      <c r="A831" s="18"/>
      <c r="B831" s="121"/>
      <c r="C831" s="20"/>
      <c r="D831" s="20"/>
      <c r="E831" s="21"/>
      <c r="F831" s="24"/>
    </row>
    <row r="832" spans="1:6" x14ac:dyDescent="0.25">
      <c r="A832" s="18"/>
      <c r="B832" s="121"/>
      <c r="C832" s="20"/>
      <c r="D832" s="20"/>
      <c r="E832" s="21"/>
      <c r="F832" s="24"/>
    </row>
    <row r="833" spans="1:6" x14ac:dyDescent="0.25">
      <c r="A833" s="18"/>
      <c r="B833" s="121"/>
      <c r="C833" s="20"/>
      <c r="D833" s="20"/>
      <c r="E833" s="21"/>
      <c r="F833" s="24"/>
    </row>
    <row r="834" spans="1:6" x14ac:dyDescent="0.25">
      <c r="A834" s="18"/>
      <c r="B834" s="121"/>
      <c r="C834" s="20"/>
      <c r="D834" s="20"/>
      <c r="E834" s="21"/>
      <c r="F834" s="24"/>
    </row>
    <row r="835" spans="1:6" x14ac:dyDescent="0.25">
      <c r="A835" s="18"/>
      <c r="B835" s="121"/>
      <c r="C835" s="20"/>
      <c r="D835" s="20"/>
      <c r="E835" s="21"/>
      <c r="F835" s="24"/>
    </row>
    <row r="836" spans="1:6" x14ac:dyDescent="0.25">
      <c r="A836" s="18"/>
      <c r="B836" s="121"/>
      <c r="C836" s="20"/>
      <c r="D836" s="20"/>
      <c r="E836" s="21"/>
      <c r="F836" s="24"/>
    </row>
    <row r="837" spans="1:6" x14ac:dyDescent="0.25">
      <c r="A837" s="18"/>
      <c r="B837" s="121"/>
      <c r="C837" s="20"/>
      <c r="D837" s="20"/>
      <c r="E837" s="21"/>
      <c r="F837" s="24"/>
    </row>
    <row r="838" spans="1:6" x14ac:dyDescent="0.25">
      <c r="A838" s="18"/>
      <c r="B838" s="131"/>
      <c r="C838" s="20"/>
      <c r="D838" s="20"/>
      <c r="E838" s="21"/>
      <c r="F838" s="24"/>
    </row>
    <row r="839" spans="1:6" ht="26.25" thickBot="1" x14ac:dyDescent="0.3">
      <c r="A839" s="100"/>
      <c r="B839" s="129" t="s">
        <v>225</v>
      </c>
      <c r="C839" s="102"/>
      <c r="D839" s="102"/>
      <c r="E839" s="103"/>
      <c r="F839" s="104">
        <f>SUM(F816:F820)</f>
        <v>114485</v>
      </c>
    </row>
    <row r="840" spans="1:6" x14ac:dyDescent="0.25">
      <c r="A840" s="160" t="s">
        <v>0</v>
      </c>
      <c r="B840" s="161" t="s">
        <v>1</v>
      </c>
      <c r="C840" s="162" t="s">
        <v>2</v>
      </c>
      <c r="D840" s="162" t="s">
        <v>3</v>
      </c>
      <c r="E840" s="163" t="s">
        <v>4</v>
      </c>
      <c r="F840" s="164" t="s">
        <v>5</v>
      </c>
    </row>
    <row r="841" spans="1:6" x14ac:dyDescent="0.25">
      <c r="A841" s="18"/>
      <c r="B841" s="44"/>
      <c r="C841" s="20"/>
      <c r="D841" s="20"/>
      <c r="E841" s="21"/>
      <c r="F841" s="24"/>
    </row>
    <row r="842" spans="1:6" x14ac:dyDescent="0.25">
      <c r="A842" s="18"/>
      <c r="B842" s="82" t="s">
        <v>227</v>
      </c>
      <c r="C842" s="20"/>
      <c r="D842" s="20"/>
      <c r="E842" s="21"/>
      <c r="F842" s="24"/>
    </row>
    <row r="843" spans="1:6" x14ac:dyDescent="0.25">
      <c r="A843" s="18"/>
      <c r="B843" s="167"/>
      <c r="C843" s="20"/>
      <c r="D843" s="20"/>
      <c r="E843" s="21"/>
      <c r="F843" s="24"/>
    </row>
    <row r="844" spans="1:6" x14ac:dyDescent="0.25">
      <c r="A844" s="18"/>
      <c r="B844" s="154" t="s">
        <v>228</v>
      </c>
      <c r="C844" s="20"/>
      <c r="D844" s="20"/>
      <c r="E844" s="21"/>
      <c r="F844" s="24"/>
    </row>
    <row r="845" spans="1:6" x14ac:dyDescent="0.25">
      <c r="A845" s="18"/>
      <c r="B845" s="197"/>
      <c r="C845" s="20"/>
      <c r="D845" s="20"/>
      <c r="E845" s="21"/>
      <c r="F845" s="24"/>
    </row>
    <row r="846" spans="1:6" x14ac:dyDescent="0.25">
      <c r="A846" s="18"/>
      <c r="B846" s="23" t="s">
        <v>229</v>
      </c>
      <c r="C846" s="20"/>
      <c r="D846" s="20"/>
      <c r="E846" s="21"/>
      <c r="F846" s="24"/>
    </row>
    <row r="847" spans="1:6" x14ac:dyDescent="0.25">
      <c r="A847" s="18"/>
      <c r="B847" s="25"/>
      <c r="C847" s="20"/>
      <c r="D847" s="20"/>
      <c r="E847" s="21"/>
      <c r="F847" s="24"/>
    </row>
    <row r="848" spans="1:6" ht="26.25" x14ac:dyDescent="0.25">
      <c r="A848" s="18"/>
      <c r="B848" s="19" t="s">
        <v>230</v>
      </c>
      <c r="C848" s="20"/>
      <c r="D848" s="20"/>
      <c r="E848" s="21"/>
      <c r="F848" s="22"/>
    </row>
    <row r="849" spans="1:6" x14ac:dyDescent="0.25">
      <c r="A849" s="18"/>
      <c r="B849" s="23"/>
      <c r="C849" s="20"/>
      <c r="D849" s="20"/>
      <c r="E849" s="21"/>
      <c r="F849" s="24"/>
    </row>
    <row r="850" spans="1:6" ht="26.25" x14ac:dyDescent="0.25">
      <c r="A850" s="18" t="s">
        <v>7</v>
      </c>
      <c r="B850" s="130" t="s">
        <v>231</v>
      </c>
      <c r="C850" s="20">
        <v>56</v>
      </c>
      <c r="D850" s="20" t="s">
        <v>8</v>
      </c>
      <c r="E850" s="21">
        <v>450</v>
      </c>
      <c r="F850" s="24">
        <f>C850*E850</f>
        <v>25200</v>
      </c>
    </row>
    <row r="851" spans="1:6" x14ac:dyDescent="0.25">
      <c r="A851" s="18"/>
      <c r="B851" s="25"/>
      <c r="C851" s="20"/>
      <c r="D851" s="20"/>
      <c r="E851" s="21"/>
      <c r="F851" s="24"/>
    </row>
    <row r="852" spans="1:6" s="212" customFormat="1" x14ac:dyDescent="0.25">
      <c r="A852" s="207"/>
      <c r="B852" s="208" t="s">
        <v>252</v>
      </c>
      <c r="C852" s="209"/>
      <c r="D852" s="209"/>
      <c r="E852" s="210"/>
      <c r="F852" s="211"/>
    </row>
    <row r="853" spans="1:6" x14ac:dyDescent="0.25">
      <c r="A853" s="18"/>
      <c r="B853" s="206"/>
      <c r="C853" s="20"/>
      <c r="D853" s="20"/>
      <c r="E853" s="21"/>
      <c r="F853" s="24"/>
    </row>
    <row r="854" spans="1:6" x14ac:dyDescent="0.25">
      <c r="A854" s="78" t="s">
        <v>9</v>
      </c>
      <c r="B854" s="79" t="s">
        <v>253</v>
      </c>
      <c r="C854" s="80">
        <v>1</v>
      </c>
      <c r="D854" s="80" t="s">
        <v>8</v>
      </c>
      <c r="E854" s="80">
        <f>0.05*13000</f>
        <v>650</v>
      </c>
      <c r="F854" s="105">
        <f>C854*E854</f>
        <v>650</v>
      </c>
    </row>
    <row r="855" spans="1:6" x14ac:dyDescent="0.25">
      <c r="A855" s="18"/>
      <c r="B855" s="206"/>
      <c r="C855" s="20"/>
      <c r="D855" s="20"/>
      <c r="E855" s="21"/>
      <c r="F855" s="24"/>
    </row>
    <row r="856" spans="1:6" ht="90" x14ac:dyDescent="0.25">
      <c r="A856" s="18"/>
      <c r="B856" s="19" t="s">
        <v>232</v>
      </c>
      <c r="C856" s="20"/>
      <c r="D856" s="20"/>
      <c r="E856" s="21"/>
      <c r="F856" s="24"/>
    </row>
    <row r="857" spans="1:6" x14ac:dyDescent="0.25">
      <c r="A857" s="18"/>
      <c r="B857" s="131"/>
      <c r="C857" s="20"/>
      <c r="D857" s="20"/>
      <c r="E857" s="21"/>
      <c r="F857" s="24"/>
    </row>
    <row r="858" spans="1:6" x14ac:dyDescent="0.25">
      <c r="A858" s="18" t="s">
        <v>10</v>
      </c>
      <c r="B858" s="132" t="s">
        <v>233</v>
      </c>
      <c r="C858" s="20">
        <v>56</v>
      </c>
      <c r="D858" s="20" t="s">
        <v>8</v>
      </c>
      <c r="E858" s="21">
        <v>1950</v>
      </c>
      <c r="F858" s="24">
        <f>C858*E858</f>
        <v>109200</v>
      </c>
    </row>
    <row r="859" spans="1:6" x14ac:dyDescent="0.25">
      <c r="A859" s="18"/>
      <c r="B859" s="132"/>
      <c r="C859" s="20"/>
      <c r="D859" s="20"/>
      <c r="E859" s="21"/>
      <c r="F859" s="24"/>
    </row>
    <row r="860" spans="1:6" ht="38.25" x14ac:dyDescent="0.25">
      <c r="A860" s="18" t="s">
        <v>11</v>
      </c>
      <c r="B860" s="198" t="s">
        <v>234</v>
      </c>
      <c r="C860" s="20">
        <v>19</v>
      </c>
      <c r="D860" s="20" t="s">
        <v>68</v>
      </c>
      <c r="E860" s="21">
        <v>410</v>
      </c>
      <c r="F860" s="24">
        <f>C860*E860</f>
        <v>7790</v>
      </c>
    </row>
    <row r="861" spans="1:6" x14ac:dyDescent="0.25">
      <c r="A861" s="72"/>
      <c r="B861" s="43"/>
      <c r="C861" s="87"/>
      <c r="D861" s="87"/>
      <c r="E861" s="88"/>
      <c r="F861" s="24"/>
    </row>
    <row r="862" spans="1:6" x14ac:dyDescent="0.25">
      <c r="A862" s="18"/>
      <c r="B862" s="154" t="s">
        <v>235</v>
      </c>
      <c r="C862" s="20"/>
      <c r="D862" s="20"/>
      <c r="E862" s="21"/>
      <c r="F862" s="24"/>
    </row>
    <row r="863" spans="1:6" x14ac:dyDescent="0.25">
      <c r="A863" s="18"/>
      <c r="B863" s="154"/>
      <c r="C863" s="20"/>
      <c r="D863" s="20"/>
      <c r="E863" s="21"/>
      <c r="F863" s="24"/>
    </row>
    <row r="864" spans="1:6" x14ac:dyDescent="0.25">
      <c r="A864" s="18"/>
      <c r="B864" s="154" t="s">
        <v>173</v>
      </c>
      <c r="C864" s="20"/>
      <c r="D864" s="20"/>
      <c r="E864" s="21"/>
      <c r="F864" s="24"/>
    </row>
    <row r="865" spans="1:6" x14ac:dyDescent="0.25">
      <c r="A865" s="18"/>
      <c r="B865" s="44"/>
      <c r="C865" s="20"/>
      <c r="D865" s="20"/>
      <c r="E865" s="21"/>
      <c r="F865" s="24"/>
    </row>
    <row r="866" spans="1:6" ht="39" x14ac:dyDescent="0.25">
      <c r="A866" s="18"/>
      <c r="B866" s="19" t="s">
        <v>236</v>
      </c>
      <c r="C866" s="20"/>
      <c r="D866" s="20"/>
      <c r="E866" s="21"/>
      <c r="F866" s="24"/>
    </row>
    <row r="867" spans="1:6" x14ac:dyDescent="0.25">
      <c r="A867" s="18"/>
      <c r="B867" s="44"/>
      <c r="C867" s="20"/>
      <c r="D867" s="20"/>
      <c r="E867" s="21"/>
      <c r="F867" s="24"/>
    </row>
    <row r="868" spans="1:6" x14ac:dyDescent="0.25">
      <c r="A868" s="18" t="s">
        <v>12</v>
      </c>
      <c r="B868" s="121" t="s">
        <v>237</v>
      </c>
      <c r="C868" s="20">
        <v>77</v>
      </c>
      <c r="D868" s="20" t="s">
        <v>8</v>
      </c>
      <c r="E868" s="21">
        <v>450</v>
      </c>
      <c r="F868" s="24">
        <f>C868*E868</f>
        <v>34650</v>
      </c>
    </row>
    <row r="869" spans="1:6" x14ac:dyDescent="0.25">
      <c r="A869" s="18"/>
      <c r="B869" s="44"/>
      <c r="C869" s="20"/>
      <c r="D869" s="20"/>
      <c r="E869" s="21"/>
      <c r="F869" s="24"/>
    </row>
    <row r="870" spans="1:6" ht="39" x14ac:dyDescent="0.25">
      <c r="A870" s="18"/>
      <c r="B870" s="19" t="s">
        <v>238</v>
      </c>
      <c r="C870" s="20"/>
      <c r="D870" s="20"/>
      <c r="E870" s="21"/>
      <c r="F870" s="24"/>
    </row>
    <row r="871" spans="1:6" x14ac:dyDescent="0.25">
      <c r="A871" s="18"/>
      <c r="B871" s="44"/>
      <c r="C871" s="20"/>
      <c r="D871" s="20"/>
      <c r="E871" s="21"/>
      <c r="F871" s="24"/>
    </row>
    <row r="872" spans="1:6" x14ac:dyDescent="0.25">
      <c r="A872" s="18" t="s">
        <v>27</v>
      </c>
      <c r="B872" s="121" t="s">
        <v>237</v>
      </c>
      <c r="C872" s="20">
        <v>77</v>
      </c>
      <c r="D872" s="20" t="s">
        <v>8</v>
      </c>
      <c r="E872" s="21">
        <v>450</v>
      </c>
      <c r="F872" s="24">
        <f>C872*E872</f>
        <v>34650</v>
      </c>
    </row>
    <row r="873" spans="1:6" x14ac:dyDescent="0.25">
      <c r="A873" s="18"/>
      <c r="B873" s="44"/>
      <c r="C873" s="20"/>
      <c r="D873" s="20"/>
      <c r="E873" s="21"/>
      <c r="F873" s="24"/>
    </row>
    <row r="874" spans="1:6" ht="15.75" thickBot="1" x14ac:dyDescent="0.3">
      <c r="A874" s="100"/>
      <c r="B874" s="101" t="s">
        <v>56</v>
      </c>
      <c r="C874" s="102"/>
      <c r="D874" s="102"/>
      <c r="E874" s="103"/>
      <c r="F874" s="104">
        <f>SUM(F850:F872)</f>
        <v>212140</v>
      </c>
    </row>
    <row r="875" spans="1:6" x14ac:dyDescent="0.25">
      <c r="A875" s="160" t="s">
        <v>0</v>
      </c>
      <c r="B875" s="161" t="s">
        <v>1</v>
      </c>
      <c r="C875" s="162" t="s">
        <v>2</v>
      </c>
      <c r="D875" s="162" t="s">
        <v>3</v>
      </c>
      <c r="E875" s="163" t="s">
        <v>4</v>
      </c>
      <c r="F875" s="164" t="s">
        <v>5</v>
      </c>
    </row>
    <row r="876" spans="1:6" x14ac:dyDescent="0.25">
      <c r="A876" s="199"/>
      <c r="B876" s="200"/>
      <c r="C876" s="201"/>
      <c r="D876" s="201"/>
      <c r="E876" s="202"/>
      <c r="F876" s="203"/>
    </row>
    <row r="877" spans="1:6" x14ac:dyDescent="0.25">
      <c r="A877" s="18"/>
      <c r="B877" s="154" t="s">
        <v>239</v>
      </c>
      <c r="C877" s="20"/>
      <c r="D877" s="20"/>
      <c r="E877" s="21"/>
      <c r="F877" s="24"/>
    </row>
    <row r="878" spans="1:6" x14ac:dyDescent="0.25">
      <c r="A878" s="18"/>
      <c r="B878" s="25"/>
      <c r="C878" s="20"/>
      <c r="D878" s="20"/>
      <c r="E878" s="21"/>
      <c r="F878" s="24"/>
    </row>
    <row r="879" spans="1:6" ht="39" x14ac:dyDescent="0.25">
      <c r="A879" s="72"/>
      <c r="B879" s="19" t="s">
        <v>244</v>
      </c>
      <c r="C879" s="87"/>
      <c r="D879" s="87"/>
      <c r="E879" s="88"/>
      <c r="F879" s="22"/>
    </row>
    <row r="880" spans="1:6" x14ac:dyDescent="0.25">
      <c r="A880" s="18"/>
      <c r="B880" s="43"/>
      <c r="C880" s="87"/>
      <c r="D880" s="87"/>
      <c r="E880" s="88"/>
      <c r="F880" s="22"/>
    </row>
    <row r="881" spans="1:7" x14ac:dyDescent="0.25">
      <c r="A881" s="18" t="s">
        <v>7</v>
      </c>
      <c r="B881" s="187" t="s">
        <v>245</v>
      </c>
      <c r="C881" s="20">
        <v>170</v>
      </c>
      <c r="D881" s="20" t="s">
        <v>8</v>
      </c>
      <c r="E881" s="21">
        <v>450</v>
      </c>
      <c r="F881" s="24">
        <f>C881*E881</f>
        <v>76500</v>
      </c>
    </row>
    <row r="882" spans="1:7" x14ac:dyDescent="0.25">
      <c r="A882" s="18"/>
      <c r="B882" s="44"/>
      <c r="C882" s="20"/>
      <c r="D882" s="20"/>
      <c r="E882" s="21"/>
      <c r="F882" s="24"/>
    </row>
    <row r="883" spans="1:7" s="99" customFormat="1" ht="102" x14ac:dyDescent="0.2">
      <c r="A883" s="18"/>
      <c r="B883" s="19" t="s">
        <v>246</v>
      </c>
      <c r="C883" s="20"/>
      <c r="D883" s="20"/>
      <c r="E883" s="21"/>
      <c r="F883" s="24"/>
      <c r="G883" s="98"/>
    </row>
    <row r="884" spans="1:7" s="99" customFormat="1" ht="14.25" x14ac:dyDescent="0.25">
      <c r="A884" s="18"/>
      <c r="B884" s="44"/>
      <c r="C884" s="20"/>
      <c r="D884" s="87"/>
      <c r="E884" s="21"/>
      <c r="F884" s="24"/>
      <c r="G884" s="98"/>
    </row>
    <row r="885" spans="1:7" s="99" customFormat="1" ht="12.75" x14ac:dyDescent="0.2">
      <c r="A885" s="18" t="s">
        <v>9</v>
      </c>
      <c r="B885" s="187" t="s">
        <v>247</v>
      </c>
      <c r="C885" s="20">
        <f>C881</f>
        <v>170</v>
      </c>
      <c r="D885" s="20" t="s">
        <v>8</v>
      </c>
      <c r="E885" s="21">
        <v>1725</v>
      </c>
      <c r="F885" s="24">
        <f>C885*E885</f>
        <v>293250</v>
      </c>
      <c r="G885" s="98"/>
    </row>
    <row r="886" spans="1:7" s="99" customFormat="1" ht="12.75" x14ac:dyDescent="0.25">
      <c r="A886" s="18"/>
      <c r="B886" s="44"/>
      <c r="C886" s="20"/>
      <c r="D886" s="20"/>
      <c r="E886" s="21"/>
      <c r="F886" s="24"/>
      <c r="G886" s="98"/>
    </row>
    <row r="887" spans="1:7" s="99" customFormat="1" ht="12.75" x14ac:dyDescent="0.2">
      <c r="A887" s="18"/>
      <c r="B887" s="23" t="s">
        <v>248</v>
      </c>
      <c r="C887" s="20"/>
      <c r="D887" s="20"/>
      <c r="E887" s="21"/>
      <c r="F887" s="24"/>
      <c r="G887" s="98"/>
    </row>
    <row r="888" spans="1:7" s="99" customFormat="1" ht="12.75" x14ac:dyDescent="0.2">
      <c r="A888" s="18"/>
      <c r="B888" s="25"/>
      <c r="C888" s="20"/>
      <c r="D888" s="20"/>
      <c r="E888" s="21"/>
      <c r="F888" s="24"/>
      <c r="G888" s="98"/>
    </row>
    <row r="889" spans="1:7" s="99" customFormat="1" ht="51" x14ac:dyDescent="0.2">
      <c r="A889" s="18"/>
      <c r="B889" s="154" t="s">
        <v>249</v>
      </c>
      <c r="C889" s="20"/>
      <c r="D889" s="20"/>
      <c r="E889" s="21"/>
      <c r="F889" s="24"/>
      <c r="G889" s="98"/>
    </row>
    <row r="890" spans="1:7" s="99" customFormat="1" ht="12.75" x14ac:dyDescent="0.2">
      <c r="A890" s="18"/>
      <c r="B890" s="25"/>
      <c r="C890" s="20"/>
      <c r="D890" s="20"/>
      <c r="E890" s="21"/>
      <c r="F890" s="24"/>
      <c r="G890" s="98"/>
    </row>
    <row r="891" spans="1:7" s="99" customFormat="1" ht="12.75" x14ac:dyDescent="0.2">
      <c r="A891" s="18" t="s">
        <v>10</v>
      </c>
      <c r="B891" s="25" t="s">
        <v>250</v>
      </c>
      <c r="C891" s="20">
        <v>71</v>
      </c>
      <c r="D891" s="20" t="s">
        <v>8</v>
      </c>
      <c r="E891" s="21">
        <v>520</v>
      </c>
      <c r="F891" s="24">
        <f>C891*E891</f>
        <v>36920</v>
      </c>
      <c r="G891" s="98"/>
    </row>
    <row r="892" spans="1:7" s="99" customFormat="1" ht="12.75" x14ac:dyDescent="0.2">
      <c r="A892" s="18"/>
      <c r="B892" s="25"/>
      <c r="C892" s="20"/>
      <c r="D892" s="20"/>
      <c r="E892" s="21"/>
      <c r="F892" s="24"/>
      <c r="G892" s="98"/>
    </row>
    <row r="893" spans="1:7" s="99" customFormat="1" ht="38.25" x14ac:dyDescent="0.2">
      <c r="A893" s="18"/>
      <c r="B893" s="19" t="s">
        <v>242</v>
      </c>
      <c r="C893" s="20"/>
      <c r="D893" s="20"/>
      <c r="E893" s="21"/>
      <c r="F893" s="24"/>
      <c r="G893" s="98"/>
    </row>
    <row r="894" spans="1:7" x14ac:dyDescent="0.25">
      <c r="A894" s="18"/>
      <c r="B894" s="25"/>
      <c r="C894" s="20"/>
      <c r="D894" s="20"/>
      <c r="E894" s="21"/>
      <c r="F894" s="24"/>
    </row>
    <row r="895" spans="1:7" x14ac:dyDescent="0.25">
      <c r="A895" s="18" t="s">
        <v>11</v>
      </c>
      <c r="B895" s="25" t="s">
        <v>251</v>
      </c>
      <c r="C895" s="20">
        <f>C891</f>
        <v>71</v>
      </c>
      <c r="D895" s="20" t="s">
        <v>8</v>
      </c>
      <c r="E895" s="21">
        <v>450</v>
      </c>
      <c r="F895" s="24">
        <f>C895*E895</f>
        <v>31950</v>
      </c>
    </row>
    <row r="896" spans="1:7" x14ac:dyDescent="0.25">
      <c r="A896" s="18"/>
      <c r="B896" s="44"/>
      <c r="C896" s="20"/>
      <c r="D896" s="20"/>
      <c r="E896" s="21"/>
      <c r="F896" s="24"/>
    </row>
    <row r="897" spans="1:6" ht="15.75" thickBot="1" x14ac:dyDescent="0.3">
      <c r="A897" s="100"/>
      <c r="B897" s="101" t="s">
        <v>56</v>
      </c>
      <c r="C897" s="102"/>
      <c r="D897" s="102"/>
      <c r="E897" s="103"/>
      <c r="F897" s="104">
        <f>SUM(F881:F895)</f>
        <v>438620</v>
      </c>
    </row>
    <row r="898" spans="1:6" x14ac:dyDescent="0.25">
      <c r="A898" s="13"/>
      <c r="B898" s="14"/>
      <c r="C898" s="15"/>
      <c r="D898" s="15"/>
      <c r="E898" s="97"/>
      <c r="F898" s="16"/>
    </row>
    <row r="899" spans="1:6" x14ac:dyDescent="0.25">
      <c r="A899" s="18"/>
      <c r="B899" s="158" t="s">
        <v>256</v>
      </c>
      <c r="C899" s="20"/>
      <c r="D899" s="20"/>
      <c r="E899" s="21"/>
      <c r="F899" s="159">
        <f>F874</f>
        <v>212140</v>
      </c>
    </row>
    <row r="900" spans="1:6" x14ac:dyDescent="0.25">
      <c r="A900" s="18"/>
      <c r="B900" s="44"/>
      <c r="C900" s="20"/>
      <c r="D900" s="20"/>
      <c r="E900" s="21"/>
      <c r="F900" s="159"/>
    </row>
    <row r="901" spans="1:6" x14ac:dyDescent="0.25">
      <c r="A901" s="18"/>
      <c r="B901" s="158" t="s">
        <v>255</v>
      </c>
      <c r="C901" s="20"/>
      <c r="D901" s="20"/>
      <c r="E901" s="21"/>
      <c r="F901" s="159">
        <f>F897</f>
        <v>438620</v>
      </c>
    </row>
    <row r="902" spans="1:6" x14ac:dyDescent="0.25">
      <c r="A902" s="13"/>
      <c r="B902" s="17"/>
      <c r="C902" s="15"/>
      <c r="D902" s="15"/>
      <c r="E902" s="97"/>
      <c r="F902" s="16"/>
    </row>
    <row r="903" spans="1:6" x14ac:dyDescent="0.25">
      <c r="A903" s="13"/>
      <c r="B903" s="17"/>
      <c r="C903" s="15"/>
      <c r="D903" s="15"/>
      <c r="E903" s="97"/>
      <c r="F903" s="16"/>
    </row>
    <row r="904" spans="1:6" x14ac:dyDescent="0.25">
      <c r="A904" s="13"/>
      <c r="B904" s="17"/>
      <c r="C904" s="15"/>
      <c r="D904" s="15"/>
      <c r="E904" s="97"/>
      <c r="F904" s="16"/>
    </row>
    <row r="905" spans="1:6" x14ac:dyDescent="0.25">
      <c r="A905" s="13"/>
      <c r="B905" s="17"/>
      <c r="C905" s="15"/>
      <c r="D905" s="15"/>
      <c r="E905" s="97"/>
      <c r="F905" s="16"/>
    </row>
    <row r="906" spans="1:6" x14ac:dyDescent="0.25">
      <c r="A906" s="13"/>
      <c r="B906" s="17"/>
      <c r="C906" s="15"/>
      <c r="D906" s="15"/>
      <c r="E906" s="97"/>
      <c r="F906" s="16"/>
    </row>
    <row r="907" spans="1:6" x14ac:dyDescent="0.25">
      <c r="A907" s="13"/>
      <c r="B907" s="17"/>
      <c r="C907" s="15"/>
      <c r="D907" s="15"/>
      <c r="E907" s="97"/>
      <c r="F907" s="16"/>
    </row>
    <row r="908" spans="1:6" x14ac:dyDescent="0.25">
      <c r="A908" s="13"/>
      <c r="B908" s="17"/>
      <c r="C908" s="15"/>
      <c r="D908" s="15"/>
      <c r="E908" s="97"/>
      <c r="F908" s="16"/>
    </row>
    <row r="909" spans="1:6" x14ac:dyDescent="0.25">
      <c r="A909" s="13"/>
      <c r="B909" s="17"/>
      <c r="C909" s="15"/>
      <c r="D909" s="15"/>
      <c r="E909" s="97"/>
      <c r="F909" s="16"/>
    </row>
    <row r="910" spans="1:6" ht="26.25" thickBot="1" x14ac:dyDescent="0.3">
      <c r="A910" s="100"/>
      <c r="B910" s="129" t="s">
        <v>254</v>
      </c>
      <c r="C910" s="102"/>
      <c r="D910" s="102"/>
      <c r="E910" s="103"/>
      <c r="F910" s="104">
        <f>SUM(F899:F901)</f>
        <v>650760</v>
      </c>
    </row>
    <row r="911" spans="1:6" x14ac:dyDescent="0.25">
      <c r="A911" s="160" t="s">
        <v>0</v>
      </c>
      <c r="B911" s="161" t="s">
        <v>1</v>
      </c>
      <c r="C911" s="162" t="s">
        <v>2</v>
      </c>
      <c r="D911" s="162" t="s">
        <v>3</v>
      </c>
      <c r="E911" s="163" t="s">
        <v>4</v>
      </c>
      <c r="F911" s="164" t="s">
        <v>5</v>
      </c>
    </row>
    <row r="912" spans="1:6" x14ac:dyDescent="0.25">
      <c r="A912" s="13"/>
      <c r="B912" s="17"/>
      <c r="C912" s="15"/>
      <c r="D912" s="15"/>
      <c r="E912" s="97"/>
      <c r="F912" s="16"/>
    </row>
    <row r="913" spans="1:6" x14ac:dyDescent="0.25">
      <c r="A913" s="18"/>
      <c r="B913" s="82" t="s">
        <v>257</v>
      </c>
      <c r="C913" s="20"/>
      <c r="D913" s="20"/>
      <c r="E913" s="21"/>
      <c r="F913" s="159"/>
    </row>
    <row r="914" spans="1:6" x14ac:dyDescent="0.25">
      <c r="A914" s="18"/>
      <c r="B914" s="167"/>
      <c r="C914" s="20"/>
      <c r="D914" s="20"/>
      <c r="E914" s="21"/>
      <c r="F914" s="159"/>
    </row>
    <row r="915" spans="1:6" x14ac:dyDescent="0.25">
      <c r="A915" s="18"/>
      <c r="B915" s="154" t="s">
        <v>258</v>
      </c>
      <c r="C915" s="20"/>
      <c r="D915" s="20"/>
      <c r="E915" s="21"/>
      <c r="F915" s="159"/>
    </row>
    <row r="916" spans="1:6" x14ac:dyDescent="0.25">
      <c r="A916" s="18"/>
      <c r="B916" s="214"/>
      <c r="C916" s="20"/>
      <c r="D916" s="20"/>
      <c r="E916" s="21"/>
      <c r="F916" s="159"/>
    </row>
    <row r="917" spans="1:6" x14ac:dyDescent="0.25">
      <c r="A917" s="215"/>
      <c r="B917" s="193" t="s">
        <v>259</v>
      </c>
      <c r="C917" s="216"/>
      <c r="D917" s="217"/>
      <c r="E917" s="218"/>
      <c r="F917" s="219"/>
    </row>
    <row r="918" spans="1:6" x14ac:dyDescent="0.25">
      <c r="A918" s="13"/>
      <c r="B918" s="17"/>
      <c r="C918" s="15"/>
      <c r="D918" s="15"/>
      <c r="E918" s="97"/>
      <c r="F918" s="16"/>
    </row>
    <row r="919" spans="1:6" x14ac:dyDescent="0.25">
      <c r="A919" s="18"/>
      <c r="B919" s="23" t="s">
        <v>130</v>
      </c>
      <c r="C919" s="20"/>
      <c r="D919" s="20"/>
      <c r="E919" s="81"/>
      <c r="F919" s="24"/>
    </row>
    <row r="920" spans="1:6" x14ac:dyDescent="0.25">
      <c r="A920" s="18"/>
      <c r="B920" s="25"/>
      <c r="C920" s="20"/>
      <c r="D920" s="20"/>
      <c r="E920" s="81"/>
      <c r="F920" s="24"/>
    </row>
    <row r="921" spans="1:6" ht="39" x14ac:dyDescent="0.25">
      <c r="A921" s="18"/>
      <c r="B921" s="23" t="s">
        <v>131</v>
      </c>
      <c r="C921" s="20"/>
      <c r="D921" s="20"/>
      <c r="E921" s="81"/>
      <c r="F921" s="24"/>
    </row>
    <row r="922" spans="1:6" x14ac:dyDescent="0.25">
      <c r="A922" s="18"/>
      <c r="B922" s="155"/>
      <c r="C922" s="20"/>
      <c r="D922" s="20"/>
      <c r="E922" s="81"/>
      <c r="F922" s="24"/>
    </row>
    <row r="923" spans="1:6" x14ac:dyDescent="0.25">
      <c r="A923" s="18" t="s">
        <v>7</v>
      </c>
      <c r="B923" s="25" t="s">
        <v>260</v>
      </c>
      <c r="C923" s="20">
        <v>4</v>
      </c>
      <c r="D923" s="20" t="s">
        <v>8</v>
      </c>
      <c r="E923" s="21">
        <v>1353</v>
      </c>
      <c r="F923" s="24">
        <f>C923*E923</f>
        <v>5412</v>
      </c>
    </row>
    <row r="924" spans="1:6" x14ac:dyDescent="0.25">
      <c r="A924" s="18"/>
      <c r="B924" s="214"/>
      <c r="C924" s="20"/>
      <c r="D924" s="20"/>
      <c r="E924" s="21"/>
      <c r="F924" s="159"/>
    </row>
    <row r="925" spans="1:6" x14ac:dyDescent="0.25">
      <c r="A925" s="18"/>
      <c r="B925" s="151" t="s">
        <v>261</v>
      </c>
      <c r="C925" s="20"/>
      <c r="D925" s="20"/>
      <c r="E925" s="21"/>
      <c r="F925" s="159"/>
    </row>
    <row r="926" spans="1:6" x14ac:dyDescent="0.25">
      <c r="A926" s="18"/>
      <c r="B926" s="214"/>
      <c r="C926" s="20"/>
      <c r="D926" s="20"/>
      <c r="E926" s="21"/>
      <c r="F926" s="159"/>
    </row>
    <row r="927" spans="1:6" ht="25.5" x14ac:dyDescent="0.25">
      <c r="A927" s="18" t="s">
        <v>9</v>
      </c>
      <c r="B927" s="44" t="s">
        <v>262</v>
      </c>
      <c r="C927" s="20">
        <v>4</v>
      </c>
      <c r="D927" s="20" t="s">
        <v>8</v>
      </c>
      <c r="E927" s="21">
        <v>1200</v>
      </c>
      <c r="F927" s="24">
        <f>C927*E927</f>
        <v>4800</v>
      </c>
    </row>
    <row r="928" spans="1:6" x14ac:dyDescent="0.25">
      <c r="A928" s="18"/>
      <c r="B928" s="214"/>
      <c r="C928" s="20"/>
      <c r="D928" s="20"/>
      <c r="E928" s="21"/>
      <c r="F928" s="159"/>
    </row>
    <row r="929" spans="1:6" ht="25.5" x14ac:dyDescent="0.25">
      <c r="A929" s="18" t="s">
        <v>10</v>
      </c>
      <c r="B929" s="94" t="s">
        <v>263</v>
      </c>
      <c r="C929" s="20">
        <v>4</v>
      </c>
      <c r="D929" s="20" t="s">
        <v>8</v>
      </c>
      <c r="E929" s="21">
        <f>12000*0.07</f>
        <v>840.00000000000011</v>
      </c>
      <c r="F929" s="24">
        <f>C929*E929</f>
        <v>3360.0000000000005</v>
      </c>
    </row>
    <row r="930" spans="1:6" x14ac:dyDescent="0.25">
      <c r="A930" s="18"/>
      <c r="B930" s="214"/>
      <c r="C930" s="20"/>
      <c r="D930" s="20"/>
      <c r="E930" s="21"/>
      <c r="F930" s="159"/>
    </row>
    <row r="931" spans="1:6" x14ac:dyDescent="0.25">
      <c r="A931" s="18"/>
      <c r="B931" s="151" t="s">
        <v>264</v>
      </c>
      <c r="C931" s="20"/>
      <c r="D931" s="20"/>
      <c r="E931" s="21"/>
      <c r="F931" s="159"/>
    </row>
    <row r="932" spans="1:6" x14ac:dyDescent="0.25">
      <c r="A932" s="18"/>
      <c r="B932" s="214"/>
      <c r="C932" s="20"/>
      <c r="D932" s="20"/>
      <c r="E932" s="21"/>
      <c r="F932" s="159"/>
    </row>
    <row r="933" spans="1:6" ht="38.25" x14ac:dyDescent="0.25">
      <c r="A933" s="18" t="s">
        <v>11</v>
      </c>
      <c r="B933" s="94" t="s">
        <v>265</v>
      </c>
      <c r="C933" s="20">
        <v>4</v>
      </c>
      <c r="D933" s="20" t="s">
        <v>8</v>
      </c>
      <c r="E933" s="21">
        <v>390</v>
      </c>
      <c r="F933" s="24">
        <f>C933*E933</f>
        <v>1560</v>
      </c>
    </row>
    <row r="934" spans="1:6" x14ac:dyDescent="0.25">
      <c r="A934" s="18"/>
      <c r="B934" s="214"/>
      <c r="C934" s="20"/>
      <c r="D934" s="20"/>
      <c r="E934" s="21"/>
      <c r="F934" s="159"/>
    </row>
    <row r="935" spans="1:6" x14ac:dyDescent="0.25">
      <c r="A935" s="18"/>
      <c r="B935" s="151" t="s">
        <v>266</v>
      </c>
      <c r="C935" s="20"/>
      <c r="D935" s="20"/>
      <c r="E935" s="21"/>
      <c r="F935" s="159"/>
    </row>
    <row r="936" spans="1:6" x14ac:dyDescent="0.25">
      <c r="A936" s="18"/>
      <c r="B936" s="220"/>
      <c r="C936" s="20"/>
      <c r="D936" s="20"/>
      <c r="E936" s="21"/>
      <c r="F936" s="159"/>
    </row>
    <row r="937" spans="1:6" ht="25.5" x14ac:dyDescent="0.25">
      <c r="A937" s="18" t="s">
        <v>12</v>
      </c>
      <c r="B937" s="94" t="s">
        <v>267</v>
      </c>
      <c r="C937" s="20">
        <v>8</v>
      </c>
      <c r="D937" s="20" t="s">
        <v>8</v>
      </c>
      <c r="E937" s="21">
        <v>1600</v>
      </c>
      <c r="F937" s="24">
        <f>E937*C937</f>
        <v>12800</v>
      </c>
    </row>
    <row r="938" spans="1:6" x14ac:dyDescent="0.25">
      <c r="A938" s="18"/>
      <c r="B938" s="220"/>
      <c r="C938" s="20"/>
      <c r="D938" s="20"/>
      <c r="E938" s="21"/>
      <c r="F938" s="159"/>
    </row>
    <row r="939" spans="1:6" ht="51.75" x14ac:dyDescent="0.25">
      <c r="A939" s="18"/>
      <c r="B939" s="154" t="s">
        <v>240</v>
      </c>
      <c r="C939" s="20"/>
      <c r="D939" s="20"/>
      <c r="E939" s="21"/>
      <c r="F939" s="24"/>
    </row>
    <row r="940" spans="1:6" x14ac:dyDescent="0.25">
      <c r="A940" s="18"/>
      <c r="B940" s="25"/>
      <c r="C940" s="20"/>
      <c r="D940" s="20"/>
      <c r="E940" s="21"/>
      <c r="F940" s="24"/>
    </row>
    <row r="941" spans="1:6" x14ac:dyDescent="0.25">
      <c r="A941" s="18" t="s">
        <v>27</v>
      </c>
      <c r="B941" s="25" t="s">
        <v>268</v>
      </c>
      <c r="C941" s="20">
        <v>16</v>
      </c>
      <c r="D941" s="20" t="s">
        <v>8</v>
      </c>
      <c r="E941" s="21">
        <v>520</v>
      </c>
      <c r="F941" s="24">
        <f>C941*E941</f>
        <v>8320</v>
      </c>
    </row>
    <row r="943" spans="1:6" ht="39" x14ac:dyDescent="0.25">
      <c r="A943" s="18"/>
      <c r="B943" s="19" t="s">
        <v>242</v>
      </c>
      <c r="C943" s="20"/>
      <c r="D943" s="20"/>
      <c r="E943" s="21"/>
      <c r="F943" s="24"/>
    </row>
    <row r="944" spans="1:6" x14ac:dyDescent="0.25">
      <c r="A944" s="18"/>
      <c r="B944" s="25"/>
      <c r="C944" s="20"/>
      <c r="D944" s="20"/>
      <c r="E944" s="21"/>
      <c r="F944" s="24"/>
    </row>
    <row r="945" spans="1:6" x14ac:dyDescent="0.25">
      <c r="A945" s="18" t="s">
        <v>61</v>
      </c>
      <c r="B945" s="25" t="s">
        <v>269</v>
      </c>
      <c r="C945" s="20">
        <v>16</v>
      </c>
      <c r="D945" s="20" t="s">
        <v>8</v>
      </c>
      <c r="E945" s="21">
        <v>450</v>
      </c>
      <c r="F945" s="24">
        <f>C945*E945</f>
        <v>7200</v>
      </c>
    </row>
    <row r="946" spans="1:6" x14ac:dyDescent="0.25">
      <c r="F946" s="86"/>
    </row>
    <row r="947" spans="1:6" ht="15.75" thickBot="1" x14ac:dyDescent="0.3">
      <c r="A947" s="100"/>
      <c r="B947" s="101" t="s">
        <v>56</v>
      </c>
      <c r="C947" s="102"/>
      <c r="D947" s="102"/>
      <c r="E947" s="103"/>
      <c r="F947" s="104">
        <f>SUM(F923:F945)</f>
        <v>43452</v>
      </c>
    </row>
    <row r="948" spans="1:6" x14ac:dyDescent="0.25">
      <c r="A948" s="160" t="s">
        <v>0</v>
      </c>
      <c r="B948" s="161" t="s">
        <v>1</v>
      </c>
      <c r="C948" s="162" t="s">
        <v>2</v>
      </c>
      <c r="D948" s="162" t="s">
        <v>3</v>
      </c>
      <c r="E948" s="163" t="s">
        <v>4</v>
      </c>
      <c r="F948" s="164" t="s">
        <v>5</v>
      </c>
    </row>
    <row r="950" spans="1:6" ht="25.5" x14ac:dyDescent="0.25">
      <c r="A950" s="18"/>
      <c r="B950" s="151" t="s">
        <v>270</v>
      </c>
      <c r="C950" s="20"/>
      <c r="D950" s="20"/>
      <c r="E950" s="21"/>
      <c r="F950" s="159"/>
    </row>
    <row r="951" spans="1:6" x14ac:dyDescent="0.25">
      <c r="A951" s="18"/>
      <c r="B951" s="151"/>
      <c r="C951" s="20"/>
      <c r="D951" s="20"/>
      <c r="E951" s="21"/>
      <c r="F951" s="159"/>
    </row>
    <row r="952" spans="1:6" ht="38.25" x14ac:dyDescent="0.25">
      <c r="A952" s="18" t="s">
        <v>7</v>
      </c>
      <c r="B952" s="94" t="s">
        <v>271</v>
      </c>
      <c r="C952" s="20">
        <v>4</v>
      </c>
      <c r="D952" s="20" t="s">
        <v>8</v>
      </c>
      <c r="E952" s="21">
        <v>17610</v>
      </c>
      <c r="F952" s="24">
        <f>E952*C952</f>
        <v>70440</v>
      </c>
    </row>
    <row r="953" spans="1:6" x14ac:dyDescent="0.25">
      <c r="A953" s="72"/>
      <c r="B953" s="66"/>
      <c r="C953" s="87"/>
      <c r="D953" s="87"/>
      <c r="E953" s="88"/>
      <c r="F953" s="22"/>
    </row>
    <row r="954" spans="1:6" x14ac:dyDescent="0.25">
      <c r="A954" s="72"/>
      <c r="B954" s="66" t="s">
        <v>281</v>
      </c>
      <c r="C954" s="87"/>
      <c r="D954" s="87"/>
      <c r="E954" s="88"/>
      <c r="F954" s="22"/>
    </row>
    <row r="955" spans="1:6" x14ac:dyDescent="0.25">
      <c r="A955" s="72"/>
      <c r="B955" s="66"/>
      <c r="C955" s="87"/>
      <c r="D955" s="87"/>
      <c r="E955" s="88"/>
      <c r="F955" s="22"/>
    </row>
    <row r="956" spans="1:6" ht="51" x14ac:dyDescent="0.25">
      <c r="A956" s="72"/>
      <c r="B956" s="66" t="s">
        <v>282</v>
      </c>
      <c r="C956" s="87"/>
      <c r="D956" s="87"/>
      <c r="E956" s="88"/>
      <c r="F956" s="22"/>
    </row>
    <row r="957" spans="1:6" x14ac:dyDescent="0.25">
      <c r="A957" s="72"/>
      <c r="B957" s="66"/>
      <c r="C957" s="87"/>
      <c r="D957" s="87"/>
      <c r="E957" s="88"/>
      <c r="F957" s="22"/>
    </row>
    <row r="958" spans="1:6" ht="76.5" x14ac:dyDescent="0.25">
      <c r="A958" s="72" t="s">
        <v>9</v>
      </c>
      <c r="B958" s="46" t="s">
        <v>283</v>
      </c>
      <c r="C958" s="87">
        <v>4</v>
      </c>
      <c r="D958" s="87" t="s">
        <v>82</v>
      </c>
      <c r="E958" s="88">
        <v>6500</v>
      </c>
      <c r="F958" s="22">
        <f>C958*E958</f>
        <v>26000</v>
      </c>
    </row>
    <row r="959" spans="1:6" x14ac:dyDescent="0.25">
      <c r="A959" s="72"/>
      <c r="B959" s="66"/>
      <c r="C959" s="87"/>
      <c r="D959" s="87"/>
      <c r="E959" s="88"/>
      <c r="F959" s="22"/>
    </row>
    <row r="960" spans="1:6" ht="77.25" x14ac:dyDescent="0.25">
      <c r="A960" s="72" t="s">
        <v>10</v>
      </c>
      <c r="B960" s="134" t="s">
        <v>284</v>
      </c>
      <c r="C960" s="87">
        <v>4</v>
      </c>
      <c r="D960" s="87" t="s">
        <v>82</v>
      </c>
      <c r="E960" s="88">
        <v>25000</v>
      </c>
      <c r="F960" s="22">
        <f>C960*E960</f>
        <v>100000</v>
      </c>
    </row>
    <row r="961" spans="1:6" x14ac:dyDescent="0.25">
      <c r="A961" s="72"/>
      <c r="B961" s="66"/>
      <c r="C961" s="87"/>
      <c r="D961" s="87"/>
      <c r="E961" s="88"/>
      <c r="F961" s="22"/>
    </row>
    <row r="962" spans="1:6" ht="15.75" thickBot="1" x14ac:dyDescent="0.3">
      <c r="A962" s="100"/>
      <c r="B962" s="101" t="s">
        <v>56</v>
      </c>
      <c r="C962" s="102"/>
      <c r="D962" s="102"/>
      <c r="E962" s="103"/>
      <c r="F962" s="104">
        <f>SUM(F952:F960)</f>
        <v>196440</v>
      </c>
    </row>
    <row r="964" spans="1:6" x14ac:dyDescent="0.25">
      <c r="A964" s="18"/>
      <c r="B964" s="158" t="s">
        <v>273</v>
      </c>
      <c r="C964" s="20"/>
      <c r="D964" s="20"/>
      <c r="E964" s="21"/>
      <c r="F964" s="159">
        <f>F947</f>
        <v>43452</v>
      </c>
    </row>
    <row r="965" spans="1:6" x14ac:dyDescent="0.25">
      <c r="A965" s="18"/>
      <c r="B965" s="44"/>
      <c r="C965" s="20"/>
      <c r="D965" s="20"/>
      <c r="E965" s="21"/>
      <c r="F965" s="159"/>
    </row>
    <row r="966" spans="1:6" x14ac:dyDescent="0.25">
      <c r="A966" s="18"/>
      <c r="B966" s="158" t="s">
        <v>272</v>
      </c>
      <c r="C966" s="20"/>
      <c r="D966" s="20"/>
      <c r="E966" s="21"/>
      <c r="F966" s="159">
        <f>F962</f>
        <v>196440</v>
      </c>
    </row>
    <row r="968" spans="1:6" x14ac:dyDescent="0.25">
      <c r="A968" s="18"/>
      <c r="B968" s="26"/>
      <c r="C968" s="20"/>
      <c r="D968" s="20"/>
      <c r="E968" s="21"/>
      <c r="F968" s="24"/>
    </row>
    <row r="969" spans="1:6" x14ac:dyDescent="0.25">
      <c r="A969" s="18"/>
      <c r="B969" s="27"/>
      <c r="C969" s="20"/>
      <c r="D969" s="20"/>
      <c r="E969" s="21"/>
      <c r="F969" s="24"/>
    </row>
    <row r="970" spans="1:6" x14ac:dyDescent="0.25">
      <c r="A970" s="18"/>
      <c r="B970" s="66"/>
      <c r="C970" s="20"/>
      <c r="D970" s="20"/>
      <c r="E970" s="21"/>
      <c r="F970" s="22"/>
    </row>
    <row r="971" spans="1:6" x14ac:dyDescent="0.25">
      <c r="A971" s="18"/>
      <c r="B971" s="26"/>
      <c r="C971" s="20"/>
      <c r="D971" s="20"/>
      <c r="E971" s="21"/>
      <c r="F971" s="24"/>
    </row>
    <row r="972" spans="1:6" x14ac:dyDescent="0.25">
      <c r="A972" s="18"/>
      <c r="B972" s="85"/>
      <c r="C972" s="20"/>
      <c r="D972" s="20"/>
      <c r="E972" s="21"/>
      <c r="F972" s="24"/>
    </row>
    <row r="974" spans="1:6" x14ac:dyDescent="0.25">
      <c r="B974" s="77"/>
    </row>
    <row r="975" spans="1:6" x14ac:dyDescent="0.25">
      <c r="A975" s="78"/>
      <c r="C975" s="80"/>
      <c r="D975" s="80"/>
      <c r="E975" s="80"/>
      <c r="F975" s="105"/>
    </row>
    <row r="977" spans="1:6" x14ac:dyDescent="0.25">
      <c r="A977" s="18"/>
      <c r="B977" s="66"/>
      <c r="C977" s="20"/>
      <c r="D977" s="20"/>
      <c r="E977" s="21"/>
      <c r="F977" s="24"/>
    </row>
    <row r="978" spans="1:6" x14ac:dyDescent="0.25">
      <c r="A978" s="18"/>
      <c r="B978" s="106"/>
      <c r="C978" s="20"/>
      <c r="D978" s="20"/>
      <c r="E978" s="21"/>
      <c r="F978" s="24"/>
    </row>
    <row r="979" spans="1:6" x14ac:dyDescent="0.25">
      <c r="A979" s="18"/>
      <c r="B979" s="83"/>
      <c r="C979" s="20"/>
      <c r="D979" s="20"/>
      <c r="E979" s="21"/>
      <c r="F979" s="24"/>
    </row>
    <row r="980" spans="1:6" ht="26.25" thickBot="1" x14ac:dyDescent="0.3">
      <c r="A980" s="126"/>
      <c r="B980" s="221" t="s">
        <v>274</v>
      </c>
      <c r="C980" s="127"/>
      <c r="D980" s="127"/>
      <c r="E980" s="128"/>
      <c r="F980" s="104">
        <f>SUM(F964:F966)</f>
        <v>239892</v>
      </c>
    </row>
    <row r="981" spans="1:6" x14ac:dyDescent="0.25">
      <c r="A981" s="235" t="s">
        <v>0</v>
      </c>
      <c r="B981" s="236" t="s">
        <v>1</v>
      </c>
      <c r="C981" s="237" t="s">
        <v>13</v>
      </c>
      <c r="D981" s="237"/>
      <c r="E981" s="238"/>
      <c r="F981" s="239" t="s">
        <v>5</v>
      </c>
    </row>
    <row r="982" spans="1:6" x14ac:dyDescent="0.25">
      <c r="A982" s="18"/>
      <c r="B982" s="158"/>
      <c r="C982" s="20"/>
      <c r="D982" s="20"/>
      <c r="E982" s="20"/>
      <c r="F982" s="24"/>
    </row>
    <row r="983" spans="1:6" x14ac:dyDescent="0.25">
      <c r="A983" s="18"/>
      <c r="B983" s="225" t="s">
        <v>319</v>
      </c>
      <c r="C983" s="209"/>
      <c r="D983" s="20"/>
      <c r="E983" s="20"/>
      <c r="F983" s="159"/>
    </row>
    <row r="984" spans="1:6" x14ac:dyDescent="0.25">
      <c r="A984" s="18"/>
      <c r="B984" s="180"/>
      <c r="C984" s="20"/>
      <c r="D984" s="20"/>
      <c r="E984" s="20"/>
      <c r="F984" s="159"/>
    </row>
    <row r="985" spans="1:6" x14ac:dyDescent="0.25">
      <c r="A985" s="226" t="s">
        <v>7</v>
      </c>
      <c r="B985" s="227" t="s">
        <v>285</v>
      </c>
      <c r="C985" s="20">
        <v>16</v>
      </c>
      <c r="D985" s="20"/>
      <c r="E985" s="20"/>
      <c r="F985" s="159">
        <f>F635</f>
        <v>601420</v>
      </c>
    </row>
    <row r="986" spans="1:6" x14ac:dyDescent="0.25">
      <c r="A986" s="226"/>
      <c r="B986" s="180"/>
      <c r="C986" s="20"/>
      <c r="D986" s="20"/>
      <c r="E986" s="20"/>
      <c r="F986" s="159"/>
    </row>
    <row r="987" spans="1:6" x14ac:dyDescent="0.25">
      <c r="A987" s="226" t="s">
        <v>9</v>
      </c>
      <c r="B987" s="227" t="s">
        <v>266</v>
      </c>
      <c r="C987" s="20">
        <v>17</v>
      </c>
      <c r="D987" s="20"/>
      <c r="E987" s="20"/>
      <c r="F987" s="159">
        <f>F672</f>
        <v>223850</v>
      </c>
    </row>
    <row r="988" spans="1:6" x14ac:dyDescent="0.25">
      <c r="A988" s="226"/>
      <c r="B988" s="180"/>
      <c r="C988" s="20"/>
      <c r="D988" s="20"/>
      <c r="E988" s="20"/>
      <c r="F988" s="159"/>
    </row>
    <row r="989" spans="1:6" x14ac:dyDescent="0.25">
      <c r="A989" s="226" t="s">
        <v>10</v>
      </c>
      <c r="B989" s="227" t="s">
        <v>286</v>
      </c>
      <c r="C989" s="20">
        <v>19</v>
      </c>
      <c r="D989" s="20"/>
      <c r="E989" s="20"/>
      <c r="F989" s="159">
        <f>F744</f>
        <v>122715</v>
      </c>
    </row>
    <row r="990" spans="1:6" x14ac:dyDescent="0.25">
      <c r="A990" s="226"/>
      <c r="B990" s="227"/>
      <c r="C990" s="20"/>
      <c r="D990" s="20"/>
      <c r="E990" s="20"/>
      <c r="F990" s="159"/>
    </row>
    <row r="991" spans="1:6" x14ac:dyDescent="0.25">
      <c r="A991" s="226" t="s">
        <v>11</v>
      </c>
      <c r="B991" s="227" t="s">
        <v>287</v>
      </c>
      <c r="C991" s="20">
        <v>22</v>
      </c>
      <c r="D991" s="20"/>
      <c r="E991" s="20"/>
      <c r="F991" s="159">
        <f>F839</f>
        <v>114485</v>
      </c>
    </row>
    <row r="992" spans="1:6" x14ac:dyDescent="0.25">
      <c r="A992" s="226"/>
      <c r="B992" s="227"/>
      <c r="C992" s="20"/>
      <c r="D992" s="20"/>
      <c r="E992" s="20"/>
      <c r="F992" s="159"/>
    </row>
    <row r="993" spans="1:6" x14ac:dyDescent="0.25">
      <c r="A993" s="226" t="s">
        <v>12</v>
      </c>
      <c r="B993" s="227" t="s">
        <v>288</v>
      </c>
      <c r="C993" s="20">
        <v>24</v>
      </c>
      <c r="D993" s="20"/>
      <c r="E993" s="20"/>
      <c r="F993" s="159">
        <f>F910</f>
        <v>650760</v>
      </c>
    </row>
    <row r="994" spans="1:6" x14ac:dyDescent="0.25">
      <c r="A994" s="91"/>
      <c r="B994" s="25"/>
      <c r="C994" s="167"/>
      <c r="D994" s="167"/>
      <c r="E994" s="205"/>
      <c r="F994" s="228"/>
    </row>
    <row r="995" spans="1:6" x14ac:dyDescent="0.25">
      <c r="A995" s="181" t="s">
        <v>27</v>
      </c>
      <c r="B995" s="185" t="s">
        <v>321</v>
      </c>
      <c r="C995" s="229">
        <v>26</v>
      </c>
      <c r="D995" s="106"/>
      <c r="E995" s="205"/>
      <c r="F995" s="230">
        <f>F980</f>
        <v>239892</v>
      </c>
    </row>
    <row r="996" spans="1:6" x14ac:dyDescent="0.25">
      <c r="A996" s="240"/>
      <c r="B996" s="214"/>
      <c r="C996" s="241"/>
      <c r="D996" s="241"/>
      <c r="E996" s="242"/>
      <c r="F996" s="243"/>
    </row>
    <row r="997" spans="1:6" x14ac:dyDescent="0.25">
      <c r="A997" s="215"/>
      <c r="B997" s="231"/>
      <c r="C997" s="216"/>
      <c r="D997" s="232"/>
      <c r="E997" s="95"/>
      <c r="F997" s="233"/>
    </row>
    <row r="998" spans="1:6" x14ac:dyDescent="0.25">
      <c r="A998" s="215"/>
      <c r="B998" s="132"/>
      <c r="C998" s="216"/>
      <c r="D998" s="232"/>
      <c r="E998" s="95"/>
      <c r="F998" s="233"/>
    </row>
    <row r="999" spans="1:6" x14ac:dyDescent="0.25">
      <c r="A999" s="215"/>
      <c r="B999" s="154"/>
      <c r="C999" s="216"/>
      <c r="D999" s="232"/>
      <c r="E999" s="95"/>
      <c r="F999" s="233"/>
    </row>
    <row r="1000" spans="1:6" x14ac:dyDescent="0.25">
      <c r="A1000" s="215"/>
      <c r="B1000" s="132"/>
      <c r="C1000" s="216"/>
      <c r="D1000" s="232"/>
      <c r="E1000" s="95"/>
      <c r="F1000" s="233"/>
    </row>
    <row r="1001" spans="1:6" x14ac:dyDescent="0.25">
      <c r="A1001" s="91"/>
      <c r="B1001" s="25"/>
      <c r="C1001" s="106"/>
      <c r="D1001" s="106"/>
      <c r="E1001" s="205"/>
      <c r="F1001" s="204"/>
    </row>
    <row r="1002" spans="1:6" x14ac:dyDescent="0.25">
      <c r="A1002" s="91"/>
      <c r="B1002" s="25"/>
      <c r="C1002" s="106"/>
      <c r="D1002" s="106"/>
      <c r="E1002" s="205"/>
      <c r="F1002" s="204"/>
    </row>
    <row r="1003" spans="1:6" x14ac:dyDescent="0.25">
      <c r="A1003" s="91"/>
      <c r="B1003" s="25"/>
      <c r="C1003" s="229"/>
      <c r="D1003" s="106"/>
      <c r="E1003" s="205"/>
      <c r="F1003" s="204"/>
    </row>
    <row r="1004" spans="1:6" x14ac:dyDescent="0.25">
      <c r="A1004" s="18"/>
      <c r="B1004" s="25"/>
      <c r="C1004" s="20"/>
      <c r="D1004" s="20"/>
      <c r="E1004" s="21"/>
      <c r="F1004" s="24"/>
    </row>
    <row r="1005" spans="1:6" x14ac:dyDescent="0.25">
      <c r="A1005" s="18"/>
      <c r="B1005" s="25"/>
      <c r="C1005" s="20"/>
      <c r="D1005" s="20"/>
      <c r="E1005" s="21"/>
      <c r="F1005" s="24"/>
    </row>
    <row r="1006" spans="1:6" x14ac:dyDescent="0.25">
      <c r="A1006" s="18"/>
      <c r="B1006" s="25"/>
      <c r="C1006" s="20"/>
      <c r="D1006" s="20"/>
      <c r="E1006" s="21"/>
      <c r="F1006" s="24"/>
    </row>
    <row r="1007" spans="1:6" x14ac:dyDescent="0.25">
      <c r="A1007" s="18"/>
      <c r="B1007" s="25"/>
      <c r="C1007" s="20"/>
      <c r="D1007" s="20"/>
      <c r="E1007" s="21"/>
      <c r="F1007" s="24"/>
    </row>
    <row r="1008" spans="1:6" x14ac:dyDescent="0.25">
      <c r="A1008" s="18"/>
      <c r="B1008" s="25"/>
      <c r="C1008" s="20"/>
      <c r="D1008" s="20"/>
      <c r="E1008" s="21"/>
      <c r="F1008" s="24"/>
    </row>
    <row r="1009" spans="1:6" x14ac:dyDescent="0.25">
      <c r="A1009" s="18"/>
      <c r="B1009" s="132"/>
      <c r="C1009" s="20"/>
      <c r="D1009" s="20"/>
      <c r="E1009" s="21"/>
      <c r="F1009" s="24"/>
    </row>
    <row r="1010" spans="1:6" x14ac:dyDescent="0.25">
      <c r="A1010" s="18"/>
      <c r="B1010" s="44"/>
      <c r="C1010" s="20"/>
      <c r="D1010" s="20"/>
      <c r="E1010" s="21"/>
      <c r="F1010" s="24"/>
    </row>
    <row r="1011" spans="1:6" x14ac:dyDescent="0.25">
      <c r="A1011" s="18"/>
      <c r="B1011" s="44"/>
      <c r="C1011" s="20"/>
      <c r="D1011" s="20"/>
      <c r="E1011" s="21"/>
      <c r="F1011" s="24"/>
    </row>
    <row r="1012" spans="1:6" x14ac:dyDescent="0.25">
      <c r="A1012" s="18"/>
      <c r="B1012" s="44"/>
      <c r="C1012" s="20"/>
      <c r="D1012" s="20"/>
      <c r="E1012" s="21"/>
      <c r="F1012" s="24"/>
    </row>
    <row r="1013" spans="1:6" x14ac:dyDescent="0.25">
      <c r="A1013" s="18"/>
      <c r="B1013" s="44"/>
      <c r="C1013" s="20"/>
      <c r="D1013" s="20"/>
      <c r="E1013" s="21"/>
      <c r="F1013" s="24"/>
    </row>
    <row r="1014" spans="1:6" x14ac:dyDescent="0.25">
      <c r="A1014" s="18"/>
      <c r="B1014" s="25"/>
      <c r="C1014" s="20"/>
      <c r="D1014" s="20"/>
      <c r="E1014" s="21"/>
      <c r="F1014" s="24"/>
    </row>
    <row r="1015" spans="1:6" x14ac:dyDescent="0.25">
      <c r="A1015" s="18"/>
      <c r="B1015" s="25"/>
      <c r="C1015" s="20"/>
      <c r="D1015" s="20"/>
      <c r="E1015" s="21"/>
      <c r="F1015" s="24"/>
    </row>
    <row r="1016" spans="1:6" x14ac:dyDescent="0.25">
      <c r="A1016" s="18"/>
      <c r="B1016" s="25"/>
      <c r="C1016" s="20"/>
      <c r="D1016" s="20"/>
      <c r="E1016" s="21"/>
      <c r="F1016" s="24"/>
    </row>
    <row r="1017" spans="1:6" x14ac:dyDescent="0.25">
      <c r="A1017" s="18"/>
      <c r="B1017" s="25"/>
      <c r="C1017" s="20"/>
      <c r="D1017" s="20"/>
      <c r="E1017" s="21"/>
      <c r="F1017" s="24"/>
    </row>
    <row r="1018" spans="1:6" x14ac:dyDescent="0.25">
      <c r="A1018" s="18"/>
      <c r="B1018" s="25"/>
      <c r="C1018" s="20"/>
      <c r="D1018" s="20"/>
      <c r="E1018" s="21"/>
      <c r="F1018" s="24"/>
    </row>
    <row r="1019" spans="1:6" x14ac:dyDescent="0.25">
      <c r="A1019" s="18"/>
      <c r="B1019" s="25"/>
      <c r="C1019" s="20"/>
      <c r="D1019" s="20"/>
      <c r="E1019" s="21"/>
      <c r="F1019" s="24"/>
    </row>
    <row r="1020" spans="1:6" x14ac:dyDescent="0.25">
      <c r="A1020" s="18"/>
      <c r="B1020" s="25"/>
      <c r="C1020" s="20"/>
      <c r="D1020" s="20"/>
      <c r="E1020" s="21"/>
      <c r="F1020" s="24"/>
    </row>
    <row r="1021" spans="1:6" x14ac:dyDescent="0.25">
      <c r="A1021" s="18"/>
      <c r="B1021" s="25"/>
      <c r="C1021" s="20"/>
      <c r="D1021" s="20"/>
      <c r="E1021" s="21"/>
      <c r="F1021" s="24"/>
    </row>
    <row r="1022" spans="1:6" x14ac:dyDescent="0.25">
      <c r="A1022" s="18"/>
      <c r="B1022" s="25"/>
      <c r="C1022" s="20"/>
      <c r="D1022" s="20"/>
      <c r="E1022" s="21"/>
      <c r="F1022" s="24"/>
    </row>
    <row r="1023" spans="1:6" x14ac:dyDescent="0.25">
      <c r="A1023" s="18"/>
      <c r="B1023" s="25"/>
      <c r="C1023" s="20"/>
      <c r="D1023" s="20"/>
      <c r="E1023" s="21"/>
      <c r="F1023" s="24"/>
    </row>
    <row r="1024" spans="1:6" x14ac:dyDescent="0.25">
      <c r="A1024" s="18"/>
      <c r="B1024" s="25"/>
      <c r="C1024" s="20"/>
      <c r="D1024" s="20"/>
      <c r="E1024" s="21"/>
      <c r="F1024" s="24"/>
    </row>
    <row r="1025" spans="1:6" x14ac:dyDescent="0.25">
      <c r="A1025" s="18"/>
      <c r="B1025" s="132"/>
      <c r="C1025" s="20"/>
      <c r="D1025" s="20"/>
      <c r="E1025" s="21"/>
      <c r="F1025" s="24"/>
    </row>
    <row r="1026" spans="1:6" ht="26.25" thickBot="1" x14ac:dyDescent="0.3">
      <c r="A1026" s="100"/>
      <c r="B1026" s="129" t="s">
        <v>320</v>
      </c>
      <c r="C1026" s="102"/>
      <c r="D1026" s="102"/>
      <c r="E1026" s="102"/>
      <c r="F1026" s="104">
        <f>SUM(F985:F995)</f>
        <v>1953122</v>
      </c>
    </row>
    <row r="1027" spans="1:6" x14ac:dyDescent="0.25">
      <c r="A1027" s="160" t="s">
        <v>0</v>
      </c>
      <c r="B1027" s="161" t="s">
        <v>1</v>
      </c>
      <c r="C1027" s="162" t="s">
        <v>2</v>
      </c>
      <c r="D1027" s="162" t="s">
        <v>3</v>
      </c>
      <c r="E1027" s="163" t="s">
        <v>4</v>
      </c>
      <c r="F1027" s="164" t="s">
        <v>5</v>
      </c>
    </row>
    <row r="1028" spans="1:6" x14ac:dyDescent="0.25">
      <c r="A1028" s="18"/>
      <c r="B1028" s="165"/>
      <c r="C1028" s="20"/>
      <c r="D1028" s="20"/>
      <c r="E1028" s="21"/>
      <c r="F1028" s="24"/>
    </row>
    <row r="1029" spans="1:6" x14ac:dyDescent="0.25">
      <c r="A1029" s="18"/>
      <c r="B1029" s="166" t="s">
        <v>59</v>
      </c>
      <c r="C1029" s="20"/>
      <c r="D1029" s="20"/>
      <c r="E1029" s="21"/>
      <c r="F1029" s="24"/>
    </row>
    <row r="1030" spans="1:6" x14ac:dyDescent="0.25">
      <c r="A1030" s="18"/>
      <c r="B1030" s="167"/>
      <c r="C1030" s="20"/>
      <c r="D1030" s="20"/>
      <c r="E1030" s="21"/>
      <c r="F1030" s="24"/>
    </row>
    <row r="1031" spans="1:6" x14ac:dyDescent="0.25">
      <c r="A1031" s="18"/>
      <c r="B1031" s="23" t="s">
        <v>152</v>
      </c>
      <c r="C1031" s="20"/>
      <c r="D1031" s="20"/>
      <c r="E1031" s="21"/>
      <c r="F1031" s="24"/>
    </row>
    <row r="1032" spans="1:6" x14ac:dyDescent="0.25">
      <c r="A1032" s="18"/>
      <c r="B1032" s="23"/>
      <c r="C1032" s="20"/>
      <c r="D1032" s="20"/>
      <c r="E1032" s="21"/>
      <c r="F1032" s="24"/>
    </row>
    <row r="1033" spans="1:6" x14ac:dyDescent="0.25">
      <c r="A1033" s="18"/>
      <c r="B1033" s="23" t="s">
        <v>153</v>
      </c>
      <c r="C1033" s="20"/>
      <c r="D1033" s="20"/>
      <c r="E1033" s="21"/>
      <c r="F1033" s="24"/>
    </row>
    <row r="1034" spans="1:6" x14ac:dyDescent="0.25">
      <c r="A1034" s="18"/>
      <c r="B1034" s="23"/>
      <c r="C1034" s="20"/>
      <c r="D1034" s="20"/>
      <c r="E1034" s="21"/>
      <c r="F1034" s="24"/>
    </row>
    <row r="1035" spans="1:6" x14ac:dyDescent="0.25">
      <c r="A1035" s="18"/>
      <c r="B1035" s="23" t="s">
        <v>154</v>
      </c>
      <c r="C1035" s="20"/>
      <c r="D1035" s="20"/>
      <c r="E1035" s="21"/>
      <c r="F1035" s="24"/>
    </row>
    <row r="1036" spans="1:6" x14ac:dyDescent="0.25">
      <c r="A1036" s="18"/>
      <c r="B1036" s="119"/>
      <c r="C1036" s="20"/>
      <c r="D1036" s="20"/>
      <c r="E1036" s="21"/>
      <c r="F1036" s="24"/>
    </row>
    <row r="1037" spans="1:6" ht="115.5" x14ac:dyDescent="0.25">
      <c r="A1037" s="18"/>
      <c r="B1037" s="19" t="s">
        <v>65</v>
      </c>
      <c r="C1037" s="20"/>
      <c r="D1037" s="20"/>
      <c r="E1037" s="21"/>
      <c r="F1037" s="24"/>
    </row>
    <row r="1038" spans="1:6" x14ac:dyDescent="0.25">
      <c r="A1038" s="18"/>
      <c r="B1038" s="19"/>
      <c r="C1038" s="20"/>
      <c r="D1038" s="20"/>
      <c r="E1038" s="21"/>
      <c r="F1038" s="24"/>
    </row>
    <row r="1039" spans="1:6" x14ac:dyDescent="0.25">
      <c r="A1039" s="18" t="s">
        <v>7</v>
      </c>
      <c r="B1039" s="25" t="s">
        <v>155</v>
      </c>
      <c r="C1039" s="20">
        <v>23</v>
      </c>
      <c r="D1039" s="20" t="s">
        <v>8</v>
      </c>
      <c r="E1039" s="21">
        <v>550</v>
      </c>
      <c r="F1039" s="24">
        <f>C1039*E1039</f>
        <v>12650</v>
      </c>
    </row>
    <row r="1040" spans="1:6" x14ac:dyDescent="0.25">
      <c r="A1040" s="18"/>
      <c r="B1040" s="25"/>
      <c r="C1040" s="20"/>
      <c r="D1040" s="20"/>
      <c r="E1040" s="21"/>
      <c r="F1040" s="24"/>
    </row>
    <row r="1041" spans="1:6" x14ac:dyDescent="0.25">
      <c r="A1041" s="18" t="s">
        <v>9</v>
      </c>
      <c r="B1041" s="25" t="s">
        <v>156</v>
      </c>
      <c r="C1041" s="20">
        <v>34</v>
      </c>
      <c r="D1041" s="20" t="s">
        <v>8</v>
      </c>
      <c r="E1041" s="21">
        <v>550</v>
      </c>
      <c r="F1041" s="24">
        <f>C1041*E1041</f>
        <v>18700</v>
      </c>
    </row>
    <row r="1042" spans="1:6" x14ac:dyDescent="0.25">
      <c r="A1042" s="18"/>
      <c r="B1042" s="25"/>
      <c r="C1042" s="20"/>
      <c r="D1042" s="20"/>
      <c r="E1042" s="21"/>
      <c r="F1042" s="24"/>
    </row>
    <row r="1043" spans="1:6" x14ac:dyDescent="0.25">
      <c r="A1043" s="18" t="s">
        <v>10</v>
      </c>
      <c r="B1043" s="25" t="s">
        <v>157</v>
      </c>
      <c r="C1043" s="20">
        <v>71</v>
      </c>
      <c r="D1043" s="20" t="s">
        <v>8</v>
      </c>
      <c r="E1043" s="21">
        <v>550</v>
      </c>
      <c r="F1043" s="24">
        <f>C1043*E1043</f>
        <v>39050</v>
      </c>
    </row>
    <row r="1044" spans="1:6" x14ac:dyDescent="0.25">
      <c r="A1044" s="168"/>
      <c r="B1044" s="144"/>
      <c r="C1044" s="169"/>
      <c r="D1044" s="169"/>
      <c r="E1044" s="170"/>
      <c r="F1044" s="171"/>
    </row>
    <row r="1045" spans="1:6" x14ac:dyDescent="0.25">
      <c r="A1045" s="18" t="s">
        <v>11</v>
      </c>
      <c r="B1045" s="172" t="s">
        <v>158</v>
      </c>
      <c r="C1045" s="20">
        <v>42</v>
      </c>
      <c r="D1045" s="20" t="s">
        <v>68</v>
      </c>
      <c r="E1045" s="21">
        <v>150</v>
      </c>
      <c r="F1045" s="24">
        <f>C1045*E1045</f>
        <v>6300</v>
      </c>
    </row>
    <row r="1046" spans="1:6" x14ac:dyDescent="0.25">
      <c r="A1046" s="18"/>
      <c r="B1046" s="44"/>
      <c r="C1046" s="20"/>
      <c r="D1046" s="20"/>
      <c r="E1046" s="21"/>
      <c r="F1046" s="24"/>
    </row>
    <row r="1047" spans="1:6" x14ac:dyDescent="0.25">
      <c r="A1047" s="18"/>
      <c r="B1047" s="23" t="s">
        <v>159</v>
      </c>
      <c r="C1047" s="20"/>
      <c r="D1047" s="20"/>
      <c r="E1047" s="21"/>
      <c r="F1047" s="24"/>
    </row>
    <row r="1048" spans="1:6" x14ac:dyDescent="0.25">
      <c r="A1048" s="18"/>
      <c r="B1048" s="23"/>
      <c r="C1048" s="20"/>
      <c r="D1048" s="20"/>
      <c r="E1048" s="21"/>
      <c r="F1048" s="24"/>
    </row>
    <row r="1049" spans="1:6" x14ac:dyDescent="0.25">
      <c r="A1049" s="18"/>
      <c r="B1049" s="23" t="s">
        <v>116</v>
      </c>
      <c r="C1049" s="20"/>
      <c r="D1049" s="20"/>
      <c r="E1049" s="21"/>
      <c r="F1049" s="24"/>
    </row>
    <row r="1050" spans="1:6" x14ac:dyDescent="0.25">
      <c r="A1050" s="18"/>
      <c r="B1050" s="119"/>
      <c r="C1050" s="20"/>
      <c r="D1050" s="20"/>
      <c r="E1050" s="21"/>
      <c r="F1050" s="24"/>
    </row>
    <row r="1051" spans="1:6" ht="26.25" x14ac:dyDescent="0.25">
      <c r="A1051" s="18"/>
      <c r="B1051" s="23" t="s">
        <v>119</v>
      </c>
      <c r="C1051" s="20"/>
      <c r="D1051" s="20"/>
      <c r="E1051" s="21"/>
      <c r="F1051" s="24"/>
    </row>
    <row r="1052" spans="1:6" x14ac:dyDescent="0.25">
      <c r="A1052" s="18"/>
      <c r="B1052" s="173"/>
      <c r="C1052" s="20"/>
      <c r="D1052" s="20"/>
      <c r="E1052" s="21"/>
      <c r="F1052" s="24"/>
    </row>
    <row r="1053" spans="1:6" x14ac:dyDescent="0.25">
      <c r="A1053" s="18" t="s">
        <v>12</v>
      </c>
      <c r="B1053" s="25" t="s">
        <v>160</v>
      </c>
      <c r="C1053" s="20">
        <v>2</v>
      </c>
      <c r="D1053" s="20" t="s">
        <v>25</v>
      </c>
      <c r="E1053" s="21">
        <v>13000</v>
      </c>
      <c r="F1053" s="24">
        <f>C1053*E1053</f>
        <v>26000</v>
      </c>
    </row>
    <row r="1054" spans="1:6" x14ac:dyDescent="0.25">
      <c r="A1054" s="18"/>
      <c r="B1054" s="25"/>
      <c r="C1054" s="20"/>
      <c r="D1054" s="20"/>
      <c r="E1054" s="21"/>
      <c r="F1054" s="24"/>
    </row>
    <row r="1055" spans="1:6" x14ac:dyDescent="0.25">
      <c r="A1055" s="18" t="s">
        <v>27</v>
      </c>
      <c r="B1055" s="132" t="s">
        <v>161</v>
      </c>
      <c r="C1055" s="20">
        <v>1</v>
      </c>
      <c r="D1055" s="20" t="s">
        <v>25</v>
      </c>
      <c r="E1055" s="21">
        <v>13000</v>
      </c>
      <c r="F1055" s="24">
        <f>C1055*E1055</f>
        <v>13000</v>
      </c>
    </row>
    <row r="1056" spans="1:6" x14ac:dyDescent="0.25">
      <c r="A1056" s="18"/>
      <c r="B1056" s="44"/>
      <c r="C1056" s="20"/>
      <c r="D1056" s="20"/>
      <c r="E1056" s="21"/>
      <c r="F1056" s="24"/>
    </row>
    <row r="1057" spans="1:6" x14ac:dyDescent="0.25">
      <c r="A1057" s="18" t="s">
        <v>61</v>
      </c>
      <c r="B1057" s="25" t="s">
        <v>162</v>
      </c>
      <c r="C1057" s="20">
        <v>84</v>
      </c>
      <c r="D1057" s="20" t="s">
        <v>8</v>
      </c>
      <c r="E1057" s="21">
        <f>E1055*0.15</f>
        <v>1950</v>
      </c>
      <c r="F1057" s="24">
        <f>C1057*E1057</f>
        <v>163800</v>
      </c>
    </row>
    <row r="1058" spans="1:6" x14ac:dyDescent="0.25">
      <c r="A1058" s="18"/>
      <c r="B1058" s="25"/>
      <c r="C1058" s="20"/>
      <c r="D1058" s="20"/>
      <c r="E1058" s="21"/>
      <c r="F1058" s="24"/>
    </row>
    <row r="1059" spans="1:6" x14ac:dyDescent="0.25">
      <c r="A1059" s="18"/>
      <c r="B1059" s="44"/>
      <c r="C1059" s="20"/>
      <c r="D1059" s="20"/>
      <c r="E1059" s="21"/>
      <c r="F1059" s="24"/>
    </row>
    <row r="1060" spans="1:6" x14ac:dyDescent="0.25">
      <c r="A1060" s="18"/>
      <c r="B1060" s="174"/>
      <c r="C1060" s="20"/>
      <c r="D1060" s="20"/>
      <c r="E1060" s="21"/>
      <c r="F1060" s="24"/>
    </row>
    <row r="1061" spans="1:6" x14ac:dyDescent="0.25">
      <c r="A1061" s="72"/>
      <c r="B1061" s="43"/>
      <c r="C1061" s="87"/>
      <c r="D1061" s="87"/>
      <c r="E1061" s="88"/>
      <c r="F1061" s="22"/>
    </row>
    <row r="1062" spans="1:6" x14ac:dyDescent="0.25">
      <c r="A1062" s="72"/>
      <c r="B1062" s="43"/>
      <c r="C1062" s="87"/>
      <c r="D1062" s="87"/>
      <c r="E1062" s="88"/>
      <c r="F1062" s="22"/>
    </row>
    <row r="1063" spans="1:6" x14ac:dyDescent="0.25">
      <c r="A1063" s="72"/>
      <c r="B1063" s="43"/>
      <c r="C1063" s="87"/>
      <c r="D1063" s="87"/>
      <c r="E1063" s="88"/>
      <c r="F1063" s="22"/>
    </row>
    <row r="1064" spans="1:6" x14ac:dyDescent="0.25">
      <c r="A1064" s="168"/>
      <c r="B1064" s="144"/>
      <c r="C1064" s="169"/>
      <c r="D1064" s="169"/>
      <c r="E1064" s="170"/>
      <c r="F1064" s="171"/>
    </row>
    <row r="1065" spans="1:6" ht="15.75" thickBot="1" x14ac:dyDescent="0.3">
      <c r="A1065" s="175"/>
      <c r="B1065" s="101" t="s">
        <v>56</v>
      </c>
      <c r="C1065" s="176"/>
      <c r="D1065" s="176"/>
      <c r="E1065" s="177"/>
      <c r="F1065" s="104">
        <f>SUM(F1039:F1057)</f>
        <v>279500</v>
      </c>
    </row>
    <row r="1066" spans="1:6" x14ac:dyDescent="0.25">
      <c r="A1066" s="160" t="s">
        <v>0</v>
      </c>
      <c r="B1066" s="161" t="s">
        <v>1</v>
      </c>
      <c r="C1066" s="162" t="s">
        <v>2</v>
      </c>
      <c r="D1066" s="162" t="s">
        <v>3</v>
      </c>
      <c r="E1066" s="163" t="s">
        <v>4</v>
      </c>
      <c r="F1066" s="164" t="s">
        <v>5</v>
      </c>
    </row>
    <row r="1067" spans="1:6" x14ac:dyDescent="0.25">
      <c r="A1067" s="18"/>
      <c r="B1067" s="27"/>
      <c r="C1067" s="20"/>
      <c r="D1067" s="20"/>
      <c r="E1067" s="21"/>
      <c r="F1067" s="24"/>
    </row>
    <row r="1068" spans="1:6" ht="14.25" customHeight="1" x14ac:dyDescent="0.25">
      <c r="A1068" s="18"/>
      <c r="B1068" s="23" t="s">
        <v>48</v>
      </c>
      <c r="C1068" s="20"/>
      <c r="D1068" s="20"/>
      <c r="E1068" s="21"/>
      <c r="F1068" s="24"/>
    </row>
    <row r="1069" spans="1:6" x14ac:dyDescent="0.25">
      <c r="A1069" s="18"/>
      <c r="B1069" s="23"/>
      <c r="C1069" s="20"/>
      <c r="D1069" s="20"/>
      <c r="E1069" s="21"/>
      <c r="F1069" s="24"/>
    </row>
    <row r="1070" spans="1:6" ht="77.25" x14ac:dyDescent="0.25">
      <c r="A1070" s="18"/>
      <c r="B1070" s="19" t="s">
        <v>163</v>
      </c>
      <c r="C1070" s="20"/>
      <c r="D1070" s="20"/>
      <c r="E1070" s="21"/>
      <c r="F1070" s="24"/>
    </row>
    <row r="1071" spans="1:6" x14ac:dyDescent="0.25">
      <c r="A1071" s="18"/>
      <c r="B1071" s="19"/>
      <c r="C1071" s="20"/>
      <c r="D1071" s="20"/>
      <c r="E1071" s="21"/>
      <c r="F1071" s="24"/>
    </row>
    <row r="1072" spans="1:6" x14ac:dyDescent="0.25">
      <c r="A1072" s="18"/>
      <c r="B1072" s="23" t="s">
        <v>161</v>
      </c>
      <c r="C1072" s="20"/>
      <c r="D1072" s="20"/>
      <c r="E1072" s="21"/>
      <c r="F1072" s="24"/>
    </row>
    <row r="1073" spans="1:6" x14ac:dyDescent="0.25">
      <c r="A1073" s="18"/>
      <c r="B1073" s="173"/>
      <c r="C1073" s="20"/>
      <c r="D1073" s="20"/>
      <c r="E1073" s="21"/>
      <c r="F1073" s="24"/>
    </row>
    <row r="1074" spans="1:6" x14ac:dyDescent="0.25">
      <c r="A1074" s="18" t="s">
        <v>7</v>
      </c>
      <c r="B1074" s="130" t="s">
        <v>127</v>
      </c>
      <c r="C1074" s="20">
        <v>56</v>
      </c>
      <c r="D1074" s="20" t="s">
        <v>51</v>
      </c>
      <c r="E1074" s="21">
        <v>180</v>
      </c>
      <c r="F1074" s="24">
        <f>C1074*E1074</f>
        <v>10080</v>
      </c>
    </row>
    <row r="1075" spans="1:6" x14ac:dyDescent="0.25">
      <c r="A1075" s="18"/>
      <c r="B1075" s="179"/>
      <c r="C1075" s="20"/>
      <c r="D1075" s="20"/>
      <c r="E1075" s="21"/>
      <c r="F1075" s="24"/>
    </row>
    <row r="1076" spans="1:6" x14ac:dyDescent="0.25">
      <c r="A1076" s="18" t="s">
        <v>9</v>
      </c>
      <c r="B1076" s="25" t="s">
        <v>134</v>
      </c>
      <c r="C1076" s="20">
        <v>243</v>
      </c>
      <c r="D1076" s="20" t="s">
        <v>51</v>
      </c>
      <c r="E1076" s="21">
        <v>180</v>
      </c>
      <c r="F1076" s="24">
        <f>C1076*E1076</f>
        <v>43740</v>
      </c>
    </row>
    <row r="1077" spans="1:6" x14ac:dyDescent="0.25">
      <c r="A1077" s="18"/>
      <c r="B1077" s="25"/>
      <c r="C1077" s="20"/>
      <c r="D1077" s="20"/>
      <c r="E1077" s="21"/>
      <c r="F1077" s="24"/>
    </row>
    <row r="1078" spans="1:6" x14ac:dyDescent="0.25">
      <c r="A1078" s="18"/>
      <c r="B1078" s="23" t="s">
        <v>160</v>
      </c>
      <c r="C1078" s="20"/>
      <c r="D1078" s="20"/>
      <c r="E1078" s="21"/>
      <c r="F1078" s="24"/>
    </row>
    <row r="1079" spans="1:6" x14ac:dyDescent="0.25">
      <c r="A1079" s="18"/>
      <c r="B1079" s="173"/>
      <c r="C1079" s="20"/>
      <c r="D1079" s="20"/>
      <c r="E1079" s="21"/>
      <c r="F1079" s="24"/>
    </row>
    <row r="1080" spans="1:6" x14ac:dyDescent="0.25">
      <c r="A1080" s="18" t="s">
        <v>10</v>
      </c>
      <c r="B1080" s="25" t="s">
        <v>127</v>
      </c>
      <c r="C1080" s="20">
        <v>136</v>
      </c>
      <c r="D1080" s="20" t="s">
        <v>51</v>
      </c>
      <c r="E1080" s="21">
        <v>180</v>
      </c>
      <c r="F1080" s="24">
        <f>C1080*E1080</f>
        <v>24480</v>
      </c>
    </row>
    <row r="1081" spans="1:6" x14ac:dyDescent="0.25">
      <c r="A1081" s="18"/>
      <c r="B1081" s="25"/>
      <c r="C1081" s="20"/>
      <c r="D1081" s="20"/>
      <c r="E1081" s="21"/>
      <c r="F1081" s="24"/>
    </row>
    <row r="1082" spans="1:6" x14ac:dyDescent="0.25">
      <c r="A1082" s="18" t="s">
        <v>11</v>
      </c>
      <c r="B1082" s="25" t="s">
        <v>52</v>
      </c>
      <c r="C1082" s="20">
        <v>157</v>
      </c>
      <c r="D1082" s="20" t="s">
        <v>51</v>
      </c>
      <c r="E1082" s="21">
        <v>180</v>
      </c>
      <c r="F1082" s="24">
        <f>C1082*E1082</f>
        <v>28260</v>
      </c>
    </row>
    <row r="1083" spans="1:6" x14ac:dyDescent="0.25">
      <c r="A1083" s="18"/>
      <c r="B1083" s="25"/>
      <c r="C1083" s="20"/>
      <c r="D1083" s="20"/>
      <c r="E1083" s="21"/>
      <c r="F1083" s="24"/>
    </row>
    <row r="1084" spans="1:6" x14ac:dyDescent="0.25">
      <c r="A1084" s="18"/>
      <c r="B1084" s="151" t="s">
        <v>164</v>
      </c>
      <c r="C1084" s="20"/>
      <c r="D1084" s="20"/>
      <c r="E1084" s="21"/>
      <c r="F1084" s="159"/>
    </row>
    <row r="1085" spans="1:6" x14ac:dyDescent="0.25">
      <c r="A1085" s="18"/>
      <c r="B1085" s="180"/>
      <c r="C1085" s="20"/>
      <c r="D1085" s="20"/>
      <c r="E1085" s="21"/>
      <c r="F1085" s="159"/>
    </row>
    <row r="1086" spans="1:6" x14ac:dyDescent="0.25">
      <c r="A1086" s="18" t="s">
        <v>12</v>
      </c>
      <c r="B1086" s="94" t="s">
        <v>165</v>
      </c>
      <c r="C1086" s="20">
        <v>842</v>
      </c>
      <c r="D1086" s="20" t="s">
        <v>51</v>
      </c>
      <c r="E1086" s="21">
        <v>180</v>
      </c>
      <c r="F1086" s="24">
        <f>C1086*E1086</f>
        <v>151560</v>
      </c>
    </row>
    <row r="1087" spans="1:6" x14ac:dyDescent="0.25">
      <c r="A1087" s="18"/>
      <c r="B1087" s="44"/>
      <c r="C1087" s="20"/>
      <c r="D1087" s="20"/>
      <c r="E1087" s="21"/>
      <c r="F1087" s="24"/>
    </row>
    <row r="1088" spans="1:6" ht="15.75" thickBot="1" x14ac:dyDescent="0.3">
      <c r="A1088" s="100"/>
      <c r="B1088" s="101" t="s">
        <v>56</v>
      </c>
      <c r="C1088" s="102"/>
      <c r="D1088" s="102"/>
      <c r="E1088" s="103"/>
      <c r="F1088" s="104">
        <f>SUM(F1074:F1086)</f>
        <v>258120</v>
      </c>
    </row>
    <row r="1089" spans="1:6" x14ac:dyDescent="0.25">
      <c r="A1089" s="18"/>
      <c r="B1089" s="25"/>
      <c r="C1089" s="20"/>
      <c r="D1089" s="20"/>
      <c r="E1089" s="21"/>
      <c r="F1089" s="24"/>
    </row>
    <row r="1090" spans="1:6" x14ac:dyDescent="0.25">
      <c r="A1090" s="18"/>
      <c r="B1090" s="158" t="s">
        <v>323</v>
      </c>
      <c r="C1090" s="20"/>
      <c r="D1090" s="20"/>
      <c r="E1090" s="21"/>
      <c r="F1090" s="159">
        <f>F1065</f>
        <v>279500</v>
      </c>
    </row>
    <row r="1091" spans="1:6" x14ac:dyDescent="0.25">
      <c r="A1091" s="18"/>
      <c r="B1091" s="44"/>
      <c r="C1091" s="20"/>
      <c r="D1091" s="20"/>
      <c r="E1091" s="21"/>
      <c r="F1091" s="159"/>
    </row>
    <row r="1092" spans="1:6" x14ac:dyDescent="0.25">
      <c r="A1092" s="18"/>
      <c r="B1092" s="158" t="s">
        <v>322</v>
      </c>
      <c r="C1092" s="20"/>
      <c r="D1092" s="20"/>
      <c r="E1092" s="21"/>
      <c r="F1092" s="159">
        <f>F1088</f>
        <v>258120</v>
      </c>
    </row>
    <row r="1093" spans="1:6" x14ac:dyDescent="0.25">
      <c r="A1093" s="18"/>
      <c r="B1093" s="44"/>
      <c r="C1093" s="20"/>
      <c r="D1093" s="20"/>
      <c r="E1093" s="21"/>
      <c r="F1093" s="24"/>
    </row>
    <row r="1094" spans="1:6" x14ac:dyDescent="0.25">
      <c r="A1094" s="18"/>
      <c r="B1094" s="44"/>
      <c r="C1094" s="20"/>
      <c r="D1094" s="20"/>
      <c r="E1094" s="21"/>
      <c r="F1094" s="24"/>
    </row>
    <row r="1095" spans="1:6" x14ac:dyDescent="0.25">
      <c r="A1095" s="18"/>
      <c r="B1095" s="44"/>
      <c r="C1095" s="20"/>
      <c r="D1095" s="20"/>
      <c r="E1095" s="21"/>
      <c r="F1095" s="24"/>
    </row>
    <row r="1096" spans="1:6" x14ac:dyDescent="0.25">
      <c r="A1096" s="18"/>
      <c r="B1096" s="44"/>
      <c r="C1096" s="20"/>
      <c r="D1096" s="20"/>
      <c r="E1096" s="21"/>
      <c r="F1096" s="24"/>
    </row>
    <row r="1097" spans="1:6" x14ac:dyDescent="0.25">
      <c r="A1097" s="18"/>
      <c r="B1097" s="23"/>
      <c r="C1097" s="20"/>
      <c r="D1097" s="20"/>
      <c r="E1097" s="21"/>
      <c r="F1097" s="24"/>
    </row>
    <row r="1098" spans="1:6" x14ac:dyDescent="0.25">
      <c r="A1098" s="18"/>
      <c r="B1098" s="151"/>
      <c r="C1098" s="20"/>
      <c r="D1098" s="20"/>
      <c r="E1098" s="21"/>
      <c r="F1098" s="159"/>
    </row>
    <row r="1099" spans="1:6" x14ac:dyDescent="0.25">
      <c r="A1099" s="18"/>
      <c r="B1099" s="180"/>
      <c r="C1099" s="20"/>
      <c r="D1099" s="20"/>
      <c r="E1099" s="21"/>
      <c r="F1099" s="159"/>
    </row>
    <row r="1100" spans="1:6" x14ac:dyDescent="0.25">
      <c r="A1100" s="18"/>
      <c r="B1100" s="180"/>
      <c r="C1100" s="20"/>
      <c r="D1100" s="20"/>
      <c r="E1100" s="21"/>
      <c r="F1100" s="159"/>
    </row>
    <row r="1101" spans="1:6" x14ac:dyDescent="0.25">
      <c r="A1101" s="18"/>
      <c r="B1101" s="180"/>
      <c r="C1101" s="20"/>
      <c r="D1101" s="20"/>
      <c r="E1101" s="21"/>
      <c r="F1101" s="159"/>
    </row>
    <row r="1102" spans="1:6" x14ac:dyDescent="0.25">
      <c r="A1102" s="18"/>
      <c r="B1102" s="180"/>
      <c r="C1102" s="20"/>
      <c r="D1102" s="20"/>
      <c r="E1102" s="21"/>
      <c r="F1102" s="159"/>
    </row>
    <row r="1103" spans="1:6" x14ac:dyDescent="0.25">
      <c r="A1103" s="18"/>
      <c r="B1103" s="180"/>
      <c r="C1103" s="20"/>
      <c r="D1103" s="20"/>
      <c r="E1103" s="21"/>
      <c r="F1103" s="159"/>
    </row>
    <row r="1104" spans="1:6" x14ac:dyDescent="0.25">
      <c r="A1104" s="18"/>
      <c r="B1104" s="180"/>
      <c r="C1104" s="20"/>
      <c r="D1104" s="20"/>
      <c r="E1104" s="21"/>
      <c r="F1104" s="159"/>
    </row>
    <row r="1105" spans="1:6" x14ac:dyDescent="0.25">
      <c r="A1105" s="18"/>
      <c r="B1105" s="180"/>
      <c r="C1105" s="20"/>
      <c r="D1105" s="20"/>
      <c r="E1105" s="21"/>
      <c r="F1105" s="159"/>
    </row>
    <row r="1106" spans="1:6" x14ac:dyDescent="0.25">
      <c r="A1106" s="18"/>
      <c r="B1106" s="94"/>
      <c r="C1106" s="20"/>
      <c r="D1106" s="20"/>
      <c r="E1106" s="21"/>
      <c r="F1106" s="24"/>
    </row>
    <row r="1107" spans="1:6" ht="26.25" thickBot="1" x14ac:dyDescent="0.3">
      <c r="A1107" s="100"/>
      <c r="B1107" s="129" t="s">
        <v>275</v>
      </c>
      <c r="C1107" s="102"/>
      <c r="D1107" s="102"/>
      <c r="E1107" s="103"/>
      <c r="F1107" s="104">
        <f>SUM(F1090:F1092)</f>
        <v>537620</v>
      </c>
    </row>
    <row r="1108" spans="1:6" x14ac:dyDescent="0.25">
      <c r="A1108" s="160" t="s">
        <v>0</v>
      </c>
      <c r="B1108" s="161" t="s">
        <v>1</v>
      </c>
      <c r="C1108" s="162" t="s">
        <v>2</v>
      </c>
      <c r="D1108" s="162" t="s">
        <v>3</v>
      </c>
      <c r="E1108" s="163" t="s">
        <v>4</v>
      </c>
      <c r="F1108" s="164" t="s">
        <v>5</v>
      </c>
    </row>
    <row r="1110" spans="1:6" x14ac:dyDescent="0.25">
      <c r="A1110" s="18"/>
      <c r="B1110" s="45" t="s">
        <v>169</v>
      </c>
      <c r="C1110" s="20"/>
      <c r="D1110" s="20"/>
      <c r="E1110" s="21"/>
      <c r="F1110" s="24"/>
    </row>
    <row r="1111" spans="1:6" x14ac:dyDescent="0.25">
      <c r="A1111" s="18"/>
      <c r="B1111" s="44"/>
      <c r="C1111" s="20"/>
      <c r="D1111" s="20"/>
      <c r="E1111" s="21"/>
      <c r="F1111" s="24"/>
    </row>
    <row r="1112" spans="1:6" x14ac:dyDescent="0.25">
      <c r="A1112" s="18"/>
      <c r="B1112" s="45" t="s">
        <v>170</v>
      </c>
      <c r="C1112" s="20"/>
      <c r="D1112" s="20"/>
      <c r="E1112" s="21"/>
      <c r="F1112" s="24"/>
    </row>
    <row r="1113" spans="1:6" x14ac:dyDescent="0.25">
      <c r="A1113" s="72"/>
      <c r="B1113" s="43"/>
      <c r="C1113" s="87"/>
      <c r="D1113" s="87"/>
      <c r="E1113" s="88"/>
      <c r="F1113" s="22"/>
    </row>
    <row r="1114" spans="1:6" x14ac:dyDescent="0.25">
      <c r="A1114" s="72"/>
      <c r="B1114" s="45" t="s">
        <v>173</v>
      </c>
      <c r="C1114" s="87"/>
      <c r="D1114" s="87"/>
      <c r="E1114" s="88"/>
      <c r="F1114" s="22"/>
    </row>
    <row r="1115" spans="1:6" x14ac:dyDescent="0.25">
      <c r="A1115" s="72"/>
      <c r="B1115" s="43"/>
      <c r="C1115" s="87"/>
      <c r="D1115" s="87"/>
      <c r="E1115" s="88"/>
      <c r="F1115" s="22"/>
    </row>
    <row r="1116" spans="1:6" ht="64.5" x14ac:dyDescent="0.25">
      <c r="A1116" s="72"/>
      <c r="B1116" s="19" t="s">
        <v>174</v>
      </c>
      <c r="C1116" s="87"/>
      <c r="D1116" s="87"/>
      <c r="E1116" s="88"/>
      <c r="F1116" s="22"/>
    </row>
    <row r="1117" spans="1:6" x14ac:dyDescent="0.25">
      <c r="A1117" s="18"/>
      <c r="B1117" s="44"/>
      <c r="C1117" s="20"/>
      <c r="D1117" s="20"/>
      <c r="E1117" s="21"/>
      <c r="F1117" s="24"/>
    </row>
    <row r="1118" spans="1:6" x14ac:dyDescent="0.25">
      <c r="A1118" s="18" t="s">
        <v>7</v>
      </c>
      <c r="B1118" s="44" t="s">
        <v>175</v>
      </c>
      <c r="C1118" s="89">
        <v>76</v>
      </c>
      <c r="D1118" s="20" t="s">
        <v>8</v>
      </c>
      <c r="E1118" s="21">
        <v>1800</v>
      </c>
      <c r="F1118" s="24">
        <f>C1118*E1118</f>
        <v>136800</v>
      </c>
    </row>
    <row r="1119" spans="1:6" x14ac:dyDescent="0.25">
      <c r="A1119" s="18"/>
      <c r="B1119" s="44"/>
      <c r="C1119" s="20"/>
      <c r="D1119" s="20"/>
      <c r="E1119" s="21"/>
      <c r="F1119" s="24"/>
    </row>
    <row r="1120" spans="1:6" x14ac:dyDescent="0.25">
      <c r="A1120" s="18"/>
      <c r="B1120" s="45" t="s">
        <v>176</v>
      </c>
      <c r="C1120" s="20"/>
      <c r="D1120" s="20"/>
      <c r="E1120" s="21"/>
      <c r="F1120" s="24"/>
    </row>
    <row r="1121" spans="1:6" x14ac:dyDescent="0.25">
      <c r="A1121" s="18"/>
      <c r="B1121" s="44"/>
      <c r="C1121" s="20"/>
      <c r="D1121" s="20"/>
      <c r="E1121" s="21"/>
      <c r="F1121" s="24"/>
    </row>
    <row r="1122" spans="1:6" ht="77.25" x14ac:dyDescent="0.25">
      <c r="A1122" s="18"/>
      <c r="B1122" s="19" t="s">
        <v>177</v>
      </c>
      <c r="C1122" s="20"/>
      <c r="D1122" s="20"/>
      <c r="E1122" s="21"/>
      <c r="F1122" s="24"/>
    </row>
    <row r="1123" spans="1:6" x14ac:dyDescent="0.25">
      <c r="A1123" s="18"/>
      <c r="B1123" s="44"/>
      <c r="C1123" s="20"/>
      <c r="D1123" s="87"/>
      <c r="E1123" s="88"/>
      <c r="F1123" s="24"/>
    </row>
    <row r="1124" spans="1:6" x14ac:dyDescent="0.25">
      <c r="A1124" s="18" t="s">
        <v>9</v>
      </c>
      <c r="B1124" s="44" t="s">
        <v>175</v>
      </c>
      <c r="C1124" s="89">
        <v>3</v>
      </c>
      <c r="D1124" s="20" t="s">
        <v>8</v>
      </c>
      <c r="E1124" s="21">
        <v>1800</v>
      </c>
      <c r="F1124" s="24">
        <f>C1124*E1124</f>
        <v>5400</v>
      </c>
    </row>
    <row r="1125" spans="1:6" x14ac:dyDescent="0.25">
      <c r="A1125" s="18"/>
      <c r="B1125" s="44"/>
      <c r="C1125" s="20"/>
      <c r="D1125" s="20"/>
      <c r="E1125" s="21"/>
      <c r="F1125" s="24"/>
    </row>
    <row r="1126" spans="1:6" x14ac:dyDescent="0.25">
      <c r="A1126" s="18"/>
      <c r="B1126" s="44"/>
      <c r="C1126" s="20"/>
      <c r="D1126" s="20"/>
      <c r="E1126" s="21"/>
      <c r="F1126" s="24"/>
    </row>
    <row r="1127" spans="1:6" x14ac:dyDescent="0.25">
      <c r="A1127" s="72"/>
      <c r="B1127" s="43"/>
      <c r="C1127" s="87"/>
      <c r="D1127" s="87"/>
      <c r="E1127" s="88"/>
      <c r="F1127" s="22"/>
    </row>
    <row r="1128" spans="1:6" x14ac:dyDescent="0.25">
      <c r="A1128" s="72"/>
      <c r="B1128" s="43"/>
      <c r="C1128" s="87"/>
      <c r="D1128" s="87"/>
      <c r="E1128" s="88"/>
      <c r="F1128" s="22"/>
    </row>
    <row r="1129" spans="1:6" x14ac:dyDescent="0.25">
      <c r="A1129" s="72"/>
      <c r="B1129" s="43"/>
      <c r="C1129" s="87"/>
      <c r="D1129" s="87"/>
      <c r="E1129" s="88"/>
      <c r="F1129" s="22"/>
    </row>
    <row r="1130" spans="1:6" x14ac:dyDescent="0.25">
      <c r="A1130" s="18"/>
      <c r="B1130" s="44"/>
      <c r="C1130" s="20"/>
      <c r="D1130" s="20"/>
      <c r="E1130" s="21"/>
      <c r="F1130" s="24"/>
    </row>
    <row r="1131" spans="1:6" x14ac:dyDescent="0.25">
      <c r="A1131" s="18"/>
      <c r="B1131" s="44"/>
      <c r="C1131" s="20"/>
      <c r="D1131" s="20"/>
      <c r="E1131" s="21"/>
      <c r="F1131" s="24"/>
    </row>
    <row r="1132" spans="1:6" x14ac:dyDescent="0.25">
      <c r="A1132" s="18"/>
      <c r="B1132" s="44"/>
      <c r="C1132" s="20"/>
      <c r="D1132" s="20"/>
      <c r="E1132" s="21"/>
      <c r="F1132" s="24"/>
    </row>
    <row r="1133" spans="1:6" x14ac:dyDescent="0.25">
      <c r="A1133" s="18"/>
      <c r="B1133" s="44"/>
      <c r="C1133" s="20"/>
      <c r="D1133" s="20"/>
      <c r="E1133" s="21"/>
      <c r="F1133" s="24"/>
    </row>
    <row r="1134" spans="1:6" x14ac:dyDescent="0.25">
      <c r="A1134" s="18"/>
      <c r="B1134" s="44"/>
      <c r="C1134" s="20"/>
      <c r="D1134" s="20"/>
      <c r="E1134" s="21"/>
      <c r="F1134" s="24"/>
    </row>
    <row r="1135" spans="1:6" x14ac:dyDescent="0.25">
      <c r="A1135" s="18"/>
      <c r="B1135" s="44"/>
      <c r="C1135" s="20"/>
      <c r="D1135" s="20"/>
      <c r="E1135" s="21"/>
      <c r="F1135" s="24"/>
    </row>
    <row r="1136" spans="1:6" x14ac:dyDescent="0.25">
      <c r="A1136" s="18"/>
      <c r="B1136" s="44"/>
      <c r="C1136" s="20"/>
      <c r="D1136" s="20"/>
      <c r="E1136" s="21"/>
      <c r="F1136" s="24"/>
    </row>
    <row r="1137" spans="1:6" x14ac:dyDescent="0.25">
      <c r="A1137" s="18"/>
      <c r="B1137" s="44"/>
      <c r="C1137" s="20"/>
      <c r="D1137" s="20"/>
      <c r="E1137" s="21"/>
      <c r="F1137" s="24"/>
    </row>
    <row r="1138" spans="1:6" x14ac:dyDescent="0.25">
      <c r="A1138" s="18"/>
      <c r="B1138" s="44"/>
      <c r="C1138" s="20"/>
      <c r="D1138" s="20"/>
      <c r="E1138" s="21"/>
      <c r="F1138" s="24"/>
    </row>
    <row r="1139" spans="1:6" x14ac:dyDescent="0.25">
      <c r="A1139" s="18"/>
      <c r="B1139" s="44"/>
      <c r="C1139" s="20"/>
      <c r="D1139" s="20"/>
      <c r="E1139" s="21"/>
      <c r="F1139" s="24"/>
    </row>
    <row r="1140" spans="1:6" x14ac:dyDescent="0.25">
      <c r="A1140" s="18"/>
      <c r="B1140" s="44"/>
      <c r="C1140" s="20"/>
      <c r="D1140" s="20"/>
      <c r="E1140" s="21"/>
      <c r="F1140" s="24"/>
    </row>
    <row r="1141" spans="1:6" x14ac:dyDescent="0.25">
      <c r="A1141" s="18"/>
      <c r="B1141" s="44"/>
      <c r="C1141" s="20"/>
      <c r="D1141" s="20"/>
      <c r="E1141" s="21"/>
      <c r="F1141" s="24"/>
    </row>
    <row r="1142" spans="1:6" x14ac:dyDescent="0.25">
      <c r="A1142" s="18"/>
      <c r="B1142" s="44"/>
      <c r="C1142" s="20"/>
      <c r="D1142" s="20"/>
      <c r="E1142" s="21"/>
      <c r="F1142" s="24"/>
    </row>
    <row r="1143" spans="1:6" x14ac:dyDescent="0.25">
      <c r="A1143" s="18"/>
      <c r="B1143" s="44"/>
      <c r="C1143" s="20"/>
      <c r="D1143" s="20"/>
      <c r="E1143" s="21"/>
      <c r="F1143" s="24"/>
    </row>
    <row r="1144" spans="1:6" x14ac:dyDescent="0.25">
      <c r="A1144" s="18"/>
      <c r="B1144" s="44"/>
      <c r="C1144" s="20"/>
      <c r="D1144" s="20"/>
      <c r="E1144" s="21"/>
      <c r="F1144" s="24"/>
    </row>
    <row r="1145" spans="1:6" ht="26.25" thickBot="1" x14ac:dyDescent="0.3">
      <c r="A1145" s="100"/>
      <c r="B1145" s="129" t="s">
        <v>324</v>
      </c>
      <c r="C1145" s="102"/>
      <c r="D1145" s="102"/>
      <c r="E1145" s="103"/>
      <c r="F1145" s="104">
        <f>SUM(F1118:F1124)</f>
        <v>142200</v>
      </c>
    </row>
    <row r="1146" spans="1:6" x14ac:dyDescent="0.25">
      <c r="A1146" s="160" t="s">
        <v>0</v>
      </c>
      <c r="B1146" s="161" t="s">
        <v>1</v>
      </c>
      <c r="C1146" s="162" t="s">
        <v>2</v>
      </c>
      <c r="D1146" s="162" t="s">
        <v>3</v>
      </c>
      <c r="E1146" s="163" t="s">
        <v>4</v>
      </c>
      <c r="F1146" s="164" t="s">
        <v>5</v>
      </c>
    </row>
    <row r="1147" spans="1:6" x14ac:dyDescent="0.25">
      <c r="A1147" s="18"/>
      <c r="B1147" s="66"/>
      <c r="C1147" s="20"/>
      <c r="D1147" s="20"/>
      <c r="E1147" s="21"/>
      <c r="F1147" s="24"/>
    </row>
    <row r="1148" spans="1:6" x14ac:dyDescent="0.25">
      <c r="A1148" s="18"/>
      <c r="B1148" s="45" t="s">
        <v>181</v>
      </c>
      <c r="C1148" s="20"/>
      <c r="D1148" s="20"/>
      <c r="E1148" s="21"/>
      <c r="F1148" s="24"/>
    </row>
    <row r="1149" spans="1:6" x14ac:dyDescent="0.25">
      <c r="A1149" s="18"/>
      <c r="B1149" s="44"/>
      <c r="C1149" s="20"/>
      <c r="D1149" s="20"/>
      <c r="E1149" s="21"/>
      <c r="F1149" s="24"/>
    </row>
    <row r="1150" spans="1:6" x14ac:dyDescent="0.25">
      <c r="A1150" s="18"/>
      <c r="B1150" s="45" t="s">
        <v>182</v>
      </c>
      <c r="C1150" s="20"/>
      <c r="D1150" s="20"/>
      <c r="E1150" s="21"/>
      <c r="F1150" s="24"/>
    </row>
    <row r="1151" spans="1:6" x14ac:dyDescent="0.25">
      <c r="A1151" s="18"/>
      <c r="B1151" s="44"/>
      <c r="C1151" s="20"/>
      <c r="D1151" s="20"/>
      <c r="E1151" s="21"/>
      <c r="F1151" s="24"/>
    </row>
    <row r="1152" spans="1:6" x14ac:dyDescent="0.25">
      <c r="A1152" s="18"/>
      <c r="B1152" s="45" t="s">
        <v>183</v>
      </c>
      <c r="C1152" s="20"/>
      <c r="D1152" s="20"/>
      <c r="E1152" s="21"/>
      <c r="F1152" s="24"/>
    </row>
    <row r="1153" spans="1:6" x14ac:dyDescent="0.25">
      <c r="A1153" s="18"/>
      <c r="B1153" s="44"/>
      <c r="C1153" s="20"/>
      <c r="D1153" s="20"/>
      <c r="E1153" s="21"/>
      <c r="F1153" s="24"/>
    </row>
    <row r="1154" spans="1:6" ht="51.75" x14ac:dyDescent="0.25">
      <c r="A1154" s="18" t="s">
        <v>7</v>
      </c>
      <c r="B1154" s="121" t="s">
        <v>184</v>
      </c>
      <c r="C1154" s="20">
        <v>2</v>
      </c>
      <c r="D1154" s="20" t="s">
        <v>68</v>
      </c>
      <c r="E1154" s="21">
        <v>650</v>
      </c>
      <c r="F1154" s="24">
        <f>C1154*E1154</f>
        <v>1300</v>
      </c>
    </row>
    <row r="1155" spans="1:6" x14ac:dyDescent="0.25">
      <c r="A1155" s="18"/>
      <c r="B1155" s="44"/>
      <c r="C1155" s="20"/>
      <c r="D1155" s="20"/>
      <c r="E1155" s="21"/>
      <c r="F1155" s="24"/>
    </row>
    <row r="1156" spans="1:6" x14ac:dyDescent="0.25">
      <c r="A1156" s="18"/>
      <c r="B1156" s="19" t="s">
        <v>185</v>
      </c>
      <c r="C1156" s="20"/>
      <c r="D1156" s="20"/>
      <c r="E1156" s="21"/>
      <c r="F1156" s="24"/>
    </row>
    <row r="1157" spans="1:6" x14ac:dyDescent="0.25">
      <c r="A1157" s="18"/>
      <c r="B1157" s="44"/>
      <c r="C1157" s="20"/>
      <c r="D1157" s="20"/>
      <c r="E1157" s="21"/>
      <c r="F1157" s="24"/>
    </row>
    <row r="1158" spans="1:6" ht="204" x14ac:dyDescent="0.25">
      <c r="A1158" s="18"/>
      <c r="B1158" s="26" t="s">
        <v>186</v>
      </c>
      <c r="C1158" s="20"/>
      <c r="D1158" s="20"/>
      <c r="E1158" s="21"/>
      <c r="F1158" s="24"/>
    </row>
    <row r="1159" spans="1:6" x14ac:dyDescent="0.25">
      <c r="A1159" s="18"/>
      <c r="B1159" s="26"/>
      <c r="C1159" s="20"/>
      <c r="D1159" s="20"/>
      <c r="E1159" s="21"/>
      <c r="F1159" s="24"/>
    </row>
    <row r="1160" spans="1:6" x14ac:dyDescent="0.25">
      <c r="A1160" s="18" t="s">
        <v>9</v>
      </c>
      <c r="B1160" s="25" t="s">
        <v>200</v>
      </c>
      <c r="C1160" s="20">
        <v>1</v>
      </c>
      <c r="D1160" s="20" t="s">
        <v>82</v>
      </c>
      <c r="E1160" s="21">
        <f>1.5*1.2*4000</f>
        <v>7199.9999999999991</v>
      </c>
      <c r="F1160" s="24">
        <f>C1160*E1160</f>
        <v>7199.9999999999991</v>
      </c>
    </row>
    <row r="1161" spans="1:6" x14ac:dyDescent="0.25">
      <c r="A1161" s="18"/>
      <c r="B1161" s="25"/>
      <c r="C1161" s="20"/>
      <c r="D1161" s="20"/>
      <c r="E1161" s="21"/>
      <c r="F1161" s="24"/>
    </row>
    <row r="1162" spans="1:6" x14ac:dyDescent="0.25">
      <c r="A1162" s="18"/>
      <c r="B1162" s="23" t="s">
        <v>188</v>
      </c>
      <c r="C1162" s="20"/>
      <c r="D1162" s="20"/>
      <c r="E1162" s="21"/>
      <c r="F1162" s="24"/>
    </row>
    <row r="1163" spans="1:6" x14ac:dyDescent="0.25">
      <c r="A1163" s="18"/>
      <c r="B1163" s="23"/>
      <c r="C1163" s="20"/>
      <c r="D1163" s="20"/>
      <c r="E1163" s="21"/>
      <c r="F1163" s="24"/>
    </row>
    <row r="1164" spans="1:6" ht="26.25" x14ac:dyDescent="0.25">
      <c r="A1164" s="18" t="s">
        <v>10</v>
      </c>
      <c r="B1164" s="25" t="s">
        <v>189</v>
      </c>
      <c r="C1164" s="20">
        <v>2</v>
      </c>
      <c r="D1164" s="20" t="s">
        <v>8</v>
      </c>
      <c r="E1164" s="21">
        <v>1800</v>
      </c>
      <c r="F1164" s="24">
        <f>C1164*E1164</f>
        <v>3600</v>
      </c>
    </row>
    <row r="1165" spans="1:6" x14ac:dyDescent="0.25">
      <c r="A1165" s="18"/>
      <c r="B1165" s="44"/>
      <c r="C1165" s="20"/>
      <c r="D1165" s="20"/>
      <c r="E1165" s="21"/>
      <c r="F1165" s="24"/>
    </row>
    <row r="1166" spans="1:6" x14ac:dyDescent="0.25">
      <c r="A1166" s="18"/>
      <c r="B1166" s="44"/>
      <c r="C1166" s="20"/>
      <c r="D1166" s="20"/>
      <c r="E1166" s="21"/>
      <c r="F1166" s="24"/>
    </row>
    <row r="1167" spans="1:6" x14ac:dyDescent="0.25">
      <c r="A1167" s="18"/>
      <c r="B1167" s="44"/>
      <c r="C1167" s="20"/>
      <c r="D1167" s="20"/>
      <c r="E1167" s="21"/>
      <c r="F1167" s="24"/>
    </row>
    <row r="1168" spans="1:6" x14ac:dyDescent="0.25">
      <c r="A1168" s="18"/>
      <c r="B1168" s="44"/>
      <c r="C1168" s="20"/>
      <c r="D1168" s="20"/>
      <c r="E1168" s="21"/>
      <c r="F1168" s="24"/>
    </row>
    <row r="1169" spans="1:6" x14ac:dyDescent="0.25">
      <c r="A1169" s="18"/>
      <c r="B1169" s="44"/>
      <c r="C1169" s="20"/>
      <c r="D1169" s="20"/>
      <c r="E1169" s="21"/>
      <c r="F1169" s="24"/>
    </row>
    <row r="1170" spans="1:6" x14ac:dyDescent="0.25">
      <c r="A1170" s="18"/>
      <c r="B1170" s="44"/>
      <c r="C1170" s="20"/>
      <c r="D1170" s="20"/>
      <c r="E1170" s="21"/>
      <c r="F1170" s="24"/>
    </row>
    <row r="1171" spans="1:6" x14ac:dyDescent="0.25">
      <c r="A1171" s="18"/>
      <c r="B1171" s="44"/>
      <c r="C1171" s="20"/>
      <c r="D1171" s="20"/>
      <c r="E1171" s="21"/>
      <c r="F1171" s="24"/>
    </row>
    <row r="1172" spans="1:6" x14ac:dyDescent="0.25">
      <c r="A1172" s="18"/>
      <c r="B1172" s="44"/>
      <c r="C1172" s="20"/>
      <c r="D1172" s="20"/>
      <c r="E1172" s="21"/>
      <c r="F1172" s="24"/>
    </row>
    <row r="1173" spans="1:6" x14ac:dyDescent="0.25">
      <c r="A1173" s="18"/>
      <c r="B1173" s="44"/>
      <c r="C1173" s="20"/>
      <c r="D1173" s="20"/>
      <c r="E1173" s="21"/>
      <c r="F1173" s="24"/>
    </row>
    <row r="1174" spans="1:6" x14ac:dyDescent="0.25">
      <c r="A1174" s="18"/>
      <c r="B1174" s="44"/>
      <c r="C1174" s="20"/>
      <c r="D1174" s="20"/>
      <c r="E1174" s="21"/>
      <c r="F1174" s="24"/>
    </row>
    <row r="1175" spans="1:6" x14ac:dyDescent="0.25">
      <c r="A1175" s="18"/>
      <c r="B1175" s="44"/>
      <c r="C1175" s="20"/>
      <c r="D1175" s="20"/>
      <c r="E1175" s="21"/>
      <c r="F1175" s="24"/>
    </row>
    <row r="1176" spans="1:6" x14ac:dyDescent="0.25">
      <c r="A1176" s="18"/>
      <c r="B1176" s="44"/>
      <c r="C1176" s="20"/>
      <c r="D1176" s="20"/>
      <c r="E1176" s="21"/>
      <c r="F1176" s="24"/>
    </row>
    <row r="1177" spans="1:6" ht="15.75" thickBot="1" x14ac:dyDescent="0.3">
      <c r="A1177" s="100"/>
      <c r="B1177" s="101" t="s">
        <v>56</v>
      </c>
      <c r="C1177" s="102"/>
      <c r="D1177" s="102"/>
      <c r="E1177" s="103"/>
      <c r="F1177" s="104">
        <f>SUM(F1154:F1164)</f>
        <v>12100</v>
      </c>
    </row>
    <row r="1178" spans="1:6" x14ac:dyDescent="0.25">
      <c r="A1178" s="160" t="s">
        <v>0</v>
      </c>
      <c r="B1178" s="161" t="s">
        <v>1</v>
      </c>
      <c r="C1178" s="162" t="s">
        <v>2</v>
      </c>
      <c r="D1178" s="162" t="s">
        <v>3</v>
      </c>
      <c r="E1178" s="163" t="s">
        <v>4</v>
      </c>
      <c r="F1178" s="164" t="s">
        <v>5</v>
      </c>
    </row>
    <row r="1179" spans="1:6" x14ac:dyDescent="0.25">
      <c r="A1179" s="18"/>
      <c r="B1179" s="44"/>
      <c r="C1179" s="20"/>
      <c r="D1179" s="20"/>
      <c r="E1179" s="21"/>
      <c r="F1179" s="24"/>
    </row>
    <row r="1180" spans="1:6" x14ac:dyDescent="0.25">
      <c r="A1180" s="181"/>
      <c r="B1180" s="82" t="s">
        <v>191</v>
      </c>
      <c r="C1180" s="182"/>
      <c r="D1180" s="182"/>
      <c r="E1180" s="183"/>
      <c r="F1180" s="184"/>
    </row>
    <row r="1181" spans="1:6" x14ac:dyDescent="0.25">
      <c r="A1181" s="181"/>
      <c r="B1181" s="185"/>
      <c r="C1181" s="182"/>
      <c r="D1181" s="182"/>
      <c r="E1181" s="183"/>
      <c r="F1181" s="184"/>
    </row>
    <row r="1182" spans="1:6" ht="51" x14ac:dyDescent="0.25">
      <c r="A1182" s="91" t="s">
        <v>7</v>
      </c>
      <c r="B1182" s="27" t="s">
        <v>192</v>
      </c>
      <c r="C1182" s="92">
        <v>2</v>
      </c>
      <c r="D1182" s="92" t="s">
        <v>8</v>
      </c>
      <c r="E1182" s="95">
        <v>4950</v>
      </c>
      <c r="F1182" s="93">
        <f>C1182*E1182</f>
        <v>9900</v>
      </c>
    </row>
    <row r="1183" spans="1:6" x14ac:dyDescent="0.25">
      <c r="A1183" s="181"/>
      <c r="B1183" s="185"/>
      <c r="C1183" s="182"/>
      <c r="D1183" s="182"/>
      <c r="E1183" s="183"/>
      <c r="F1183" s="184"/>
    </row>
    <row r="1184" spans="1:6" ht="26.25" x14ac:dyDescent="0.25">
      <c r="A1184" s="18"/>
      <c r="B1184" s="19" t="s">
        <v>193</v>
      </c>
      <c r="C1184" s="20"/>
      <c r="D1184" s="20"/>
      <c r="E1184" s="21"/>
      <c r="F1184" s="24"/>
    </row>
    <row r="1185" spans="1:6" x14ac:dyDescent="0.25">
      <c r="A1185" s="18"/>
      <c r="B1185" s="186"/>
      <c r="C1185" s="20"/>
      <c r="D1185" s="20"/>
      <c r="E1185" s="21"/>
      <c r="F1185" s="24"/>
    </row>
    <row r="1186" spans="1:6" x14ac:dyDescent="0.25">
      <c r="A1186" s="18" t="s">
        <v>9</v>
      </c>
      <c r="B1186" s="187" t="s">
        <v>194</v>
      </c>
      <c r="C1186" s="20">
        <v>2</v>
      </c>
      <c r="D1186" s="20" t="s">
        <v>68</v>
      </c>
      <c r="E1186" s="21">
        <f>0.15*0.025*388000</f>
        <v>1455</v>
      </c>
      <c r="F1186" s="24">
        <f>C1186*E1186</f>
        <v>2910</v>
      </c>
    </row>
    <row r="1187" spans="1:6" x14ac:dyDescent="0.25">
      <c r="A1187" s="18"/>
      <c r="B1187" s="44"/>
      <c r="C1187" s="20"/>
      <c r="D1187" s="20"/>
      <c r="E1187" s="21"/>
      <c r="F1187" s="24"/>
    </row>
    <row r="1188" spans="1:6" x14ac:dyDescent="0.25">
      <c r="A1188" s="18"/>
      <c r="B1188" s="44"/>
      <c r="C1188" s="20"/>
      <c r="D1188" s="20"/>
      <c r="E1188" s="21"/>
      <c r="F1188" s="24"/>
    </row>
    <row r="1189" spans="1:6" x14ac:dyDescent="0.25">
      <c r="A1189" s="91"/>
      <c r="B1189" s="23" t="s">
        <v>195</v>
      </c>
      <c r="C1189" s="92"/>
      <c r="D1189" s="92"/>
      <c r="E1189" s="92"/>
      <c r="F1189" s="93"/>
    </row>
    <row r="1190" spans="1:6" x14ac:dyDescent="0.25">
      <c r="A1190" s="91"/>
      <c r="B1190" s="23"/>
      <c r="C1190" s="92"/>
      <c r="D1190" s="92"/>
      <c r="E1190" s="92"/>
      <c r="F1190" s="93"/>
    </row>
    <row r="1191" spans="1:6" ht="39" x14ac:dyDescent="0.25">
      <c r="A1191" s="91"/>
      <c r="B1191" s="23" t="s">
        <v>196</v>
      </c>
      <c r="C1191" s="92"/>
      <c r="D1191" s="92"/>
      <c r="E1191" s="92"/>
      <c r="F1191" s="93"/>
    </row>
    <row r="1192" spans="1:6" x14ac:dyDescent="0.25">
      <c r="A1192" s="91"/>
      <c r="B1192" s="25"/>
      <c r="C1192" s="92"/>
      <c r="D1192" s="92"/>
      <c r="E1192" s="92"/>
      <c r="F1192" s="93"/>
    </row>
    <row r="1193" spans="1:6" ht="26.25" x14ac:dyDescent="0.25">
      <c r="A1193" s="91" t="s">
        <v>10</v>
      </c>
      <c r="B1193" s="25" t="s">
        <v>197</v>
      </c>
      <c r="C1193" s="92">
        <f>C1182</f>
        <v>2</v>
      </c>
      <c r="D1193" s="92" t="s">
        <v>8</v>
      </c>
      <c r="E1193" s="92">
        <v>300</v>
      </c>
      <c r="F1193" s="93">
        <f>C1193*E1193</f>
        <v>600</v>
      </c>
    </row>
    <row r="1194" spans="1:6" x14ac:dyDescent="0.25">
      <c r="A1194" s="91"/>
      <c r="B1194" s="25"/>
      <c r="C1194" s="92"/>
      <c r="D1194" s="92"/>
      <c r="E1194" s="92"/>
      <c r="F1194" s="93"/>
    </row>
    <row r="1195" spans="1:6" ht="26.25" x14ac:dyDescent="0.25">
      <c r="A1195" s="91" t="s">
        <v>11</v>
      </c>
      <c r="B1195" s="25" t="s">
        <v>198</v>
      </c>
      <c r="C1195" s="92">
        <f>C1182</f>
        <v>2</v>
      </c>
      <c r="D1195" s="92" t="s">
        <v>8</v>
      </c>
      <c r="E1195" s="92">
        <v>300</v>
      </c>
      <c r="F1195" s="93">
        <f>PRODUCT(C1193:E1193)</f>
        <v>600</v>
      </c>
    </row>
    <row r="1196" spans="1:6" x14ac:dyDescent="0.25">
      <c r="A1196" s="18"/>
      <c r="B1196" s="186"/>
      <c r="C1196" s="20"/>
      <c r="D1196" s="20"/>
      <c r="E1196" s="21"/>
      <c r="F1196" s="24"/>
    </row>
    <row r="1197" spans="1:6" ht="15.75" thickBot="1" x14ac:dyDescent="0.3">
      <c r="A1197" s="100"/>
      <c r="B1197" s="101" t="s">
        <v>56</v>
      </c>
      <c r="C1197" s="102"/>
      <c r="D1197" s="102"/>
      <c r="E1197" s="103"/>
      <c r="F1197" s="104">
        <f>SUM(F1182:F1195)</f>
        <v>14010</v>
      </c>
    </row>
    <row r="1198" spans="1:6" x14ac:dyDescent="0.25">
      <c r="A1198" s="18"/>
      <c r="B1198" s="44"/>
      <c r="C1198" s="20"/>
      <c r="D1198" s="20"/>
      <c r="E1198" s="21"/>
      <c r="F1198" s="24"/>
    </row>
    <row r="1199" spans="1:6" x14ac:dyDescent="0.25">
      <c r="A1199" s="18"/>
      <c r="B1199" s="158" t="s">
        <v>276</v>
      </c>
      <c r="C1199" s="20"/>
      <c r="D1199" s="20"/>
      <c r="E1199" s="21"/>
      <c r="F1199" s="159">
        <f>F1177</f>
        <v>12100</v>
      </c>
    </row>
    <row r="1200" spans="1:6" x14ac:dyDescent="0.25">
      <c r="A1200" s="18"/>
      <c r="B1200" s="44"/>
      <c r="C1200" s="20"/>
      <c r="D1200" s="20"/>
      <c r="E1200" s="21"/>
      <c r="F1200" s="159"/>
    </row>
    <row r="1201" spans="1:6" x14ac:dyDescent="0.25">
      <c r="A1201" s="18"/>
      <c r="B1201" s="158" t="s">
        <v>325</v>
      </c>
      <c r="C1201" s="20"/>
      <c r="D1201" s="20"/>
      <c r="E1201" s="21"/>
      <c r="F1201" s="159">
        <f>F1197</f>
        <v>14010</v>
      </c>
    </row>
    <row r="1202" spans="1:6" x14ac:dyDescent="0.25">
      <c r="A1202" s="18"/>
      <c r="B1202" s="44"/>
      <c r="C1202" s="20"/>
      <c r="D1202" s="20"/>
      <c r="E1202" s="21"/>
      <c r="F1202" s="24"/>
    </row>
    <row r="1203" spans="1:6" x14ac:dyDescent="0.25">
      <c r="A1203" s="18"/>
      <c r="B1203" s="44"/>
      <c r="C1203" s="20"/>
      <c r="D1203" s="20"/>
      <c r="E1203" s="21"/>
      <c r="F1203" s="24"/>
    </row>
    <row r="1204" spans="1:6" x14ac:dyDescent="0.25">
      <c r="A1204" s="18"/>
      <c r="B1204" s="44"/>
      <c r="C1204" s="20"/>
      <c r="D1204" s="20"/>
      <c r="E1204" s="21"/>
      <c r="F1204" s="24"/>
    </row>
    <row r="1205" spans="1:6" x14ac:dyDescent="0.25">
      <c r="A1205" s="18"/>
      <c r="B1205" s="44"/>
      <c r="C1205" s="20"/>
      <c r="D1205" s="20"/>
      <c r="E1205" s="21"/>
      <c r="F1205" s="24"/>
    </row>
    <row r="1206" spans="1:6" x14ac:dyDescent="0.25">
      <c r="A1206" s="18"/>
      <c r="B1206" s="44"/>
      <c r="C1206" s="20"/>
      <c r="D1206" s="20"/>
      <c r="E1206" s="21"/>
      <c r="F1206" s="24"/>
    </row>
    <row r="1207" spans="1:6" x14ac:dyDescent="0.25">
      <c r="A1207" s="18"/>
      <c r="B1207" s="44"/>
      <c r="C1207" s="20"/>
      <c r="D1207" s="20"/>
      <c r="E1207" s="21"/>
      <c r="F1207" s="24"/>
    </row>
    <row r="1208" spans="1:6" x14ac:dyDescent="0.25">
      <c r="A1208" s="18"/>
      <c r="B1208" s="44"/>
      <c r="C1208" s="20"/>
      <c r="D1208" s="20"/>
      <c r="E1208" s="21"/>
      <c r="F1208" s="24"/>
    </row>
    <row r="1209" spans="1:6" x14ac:dyDescent="0.25">
      <c r="A1209" s="18"/>
      <c r="B1209" s="44"/>
      <c r="C1209" s="20"/>
      <c r="D1209" s="20"/>
      <c r="E1209" s="21"/>
      <c r="F1209" s="24"/>
    </row>
    <row r="1210" spans="1:6" x14ac:dyDescent="0.25">
      <c r="A1210" s="18"/>
      <c r="B1210" s="44"/>
      <c r="C1210" s="20"/>
      <c r="D1210" s="20"/>
      <c r="E1210" s="21"/>
      <c r="F1210" s="24"/>
    </row>
    <row r="1211" spans="1:6" x14ac:dyDescent="0.25">
      <c r="A1211" s="18"/>
      <c r="B1211" s="44"/>
      <c r="C1211" s="20"/>
      <c r="D1211" s="20"/>
      <c r="E1211" s="21"/>
      <c r="F1211" s="24"/>
    </row>
    <row r="1212" spans="1:6" x14ac:dyDescent="0.25">
      <c r="A1212" s="18"/>
      <c r="B1212" s="44"/>
      <c r="C1212" s="20"/>
      <c r="D1212" s="20"/>
      <c r="E1212" s="21"/>
      <c r="F1212" s="24"/>
    </row>
    <row r="1213" spans="1:6" x14ac:dyDescent="0.25">
      <c r="A1213" s="18"/>
      <c r="B1213" s="44"/>
      <c r="C1213" s="20"/>
      <c r="D1213" s="20"/>
      <c r="E1213" s="21"/>
      <c r="F1213" s="24"/>
    </row>
    <row r="1214" spans="1:6" x14ac:dyDescent="0.25">
      <c r="A1214" s="18"/>
      <c r="B1214" s="44"/>
      <c r="C1214" s="20"/>
      <c r="D1214" s="20"/>
      <c r="E1214" s="21"/>
      <c r="F1214" s="24"/>
    </row>
    <row r="1215" spans="1:6" x14ac:dyDescent="0.25">
      <c r="A1215" s="18"/>
      <c r="B1215" s="44"/>
      <c r="C1215" s="20"/>
      <c r="D1215" s="20"/>
      <c r="E1215" s="21"/>
      <c r="F1215" s="24"/>
    </row>
    <row r="1216" spans="1:6" x14ac:dyDescent="0.25">
      <c r="A1216" s="18"/>
      <c r="B1216" s="44"/>
      <c r="C1216" s="20"/>
      <c r="D1216" s="20"/>
      <c r="E1216" s="21"/>
      <c r="F1216" s="24"/>
    </row>
    <row r="1217" spans="1:6" ht="26.25" thickBot="1" x14ac:dyDescent="0.3">
      <c r="A1217" s="100"/>
      <c r="B1217" s="129" t="s">
        <v>277</v>
      </c>
      <c r="C1217" s="102"/>
      <c r="D1217" s="102"/>
      <c r="E1217" s="103"/>
      <c r="F1217" s="104">
        <f>SUM(F1199:F1201)</f>
        <v>26110</v>
      </c>
    </row>
    <row r="1218" spans="1:6" x14ac:dyDescent="0.25">
      <c r="A1218" s="160" t="s">
        <v>0</v>
      </c>
      <c r="B1218" s="161" t="s">
        <v>1</v>
      </c>
      <c r="C1218" s="162" t="s">
        <v>2</v>
      </c>
      <c r="D1218" s="162" t="s">
        <v>3</v>
      </c>
      <c r="E1218" s="163" t="s">
        <v>4</v>
      </c>
      <c r="F1218" s="164" t="s">
        <v>5</v>
      </c>
    </row>
    <row r="1220" spans="1:6" x14ac:dyDescent="0.25">
      <c r="A1220" s="18"/>
      <c r="B1220" s="45" t="s">
        <v>201</v>
      </c>
      <c r="C1220" s="20"/>
      <c r="D1220" s="20"/>
      <c r="E1220" s="21"/>
      <c r="F1220" s="24"/>
    </row>
    <row r="1221" spans="1:6" x14ac:dyDescent="0.25">
      <c r="A1221" s="18"/>
      <c r="B1221" s="44"/>
      <c r="C1221" s="20"/>
      <c r="D1221" s="20"/>
      <c r="E1221" s="21"/>
      <c r="F1221" s="24"/>
    </row>
    <row r="1222" spans="1:6" x14ac:dyDescent="0.25">
      <c r="A1222" s="18"/>
      <c r="B1222" s="45" t="s">
        <v>202</v>
      </c>
      <c r="C1222" s="20"/>
      <c r="D1222" s="20"/>
      <c r="E1222" s="21"/>
      <c r="F1222" s="24"/>
    </row>
    <row r="1223" spans="1:6" x14ac:dyDescent="0.25">
      <c r="A1223" s="18"/>
      <c r="B1223" s="44"/>
      <c r="C1223" s="20"/>
      <c r="D1223" s="20"/>
      <c r="E1223" s="21"/>
      <c r="F1223" s="24"/>
    </row>
    <row r="1224" spans="1:6" ht="268.5" x14ac:dyDescent="0.25">
      <c r="A1224" s="18"/>
      <c r="B1224" s="154" t="s">
        <v>203</v>
      </c>
      <c r="C1224" s="20"/>
      <c r="D1224" s="20"/>
      <c r="E1224" s="21"/>
      <c r="F1224" s="24"/>
    </row>
    <row r="1225" spans="1:6" x14ac:dyDescent="0.25">
      <c r="A1225" s="18"/>
      <c r="B1225" s="44"/>
      <c r="C1225" s="20"/>
      <c r="D1225" s="20"/>
      <c r="E1225" s="21"/>
      <c r="F1225" s="24"/>
    </row>
    <row r="1226" spans="1:6" ht="64.5" x14ac:dyDescent="0.25">
      <c r="A1226" s="18" t="s">
        <v>7</v>
      </c>
      <c r="B1226" s="25" t="s">
        <v>207</v>
      </c>
      <c r="C1226" s="20">
        <v>1</v>
      </c>
      <c r="D1226" s="20" t="s">
        <v>82</v>
      </c>
      <c r="E1226" s="21">
        <v>18600</v>
      </c>
      <c r="F1226" s="24">
        <f>C1226*E1226</f>
        <v>18600</v>
      </c>
    </row>
    <row r="1227" spans="1:6" x14ac:dyDescent="0.25">
      <c r="A1227" s="18"/>
      <c r="B1227" s="44"/>
      <c r="C1227" s="20"/>
      <c r="D1227" s="20"/>
      <c r="E1227" s="21"/>
      <c r="F1227" s="24"/>
    </row>
    <row r="1228" spans="1:6" x14ac:dyDescent="0.25">
      <c r="A1228" s="18"/>
      <c r="B1228" s="23" t="s">
        <v>188</v>
      </c>
      <c r="C1228" s="20"/>
      <c r="D1228" s="20"/>
      <c r="E1228" s="21"/>
      <c r="F1228" s="24"/>
    </row>
    <row r="1229" spans="1:6" x14ac:dyDescent="0.25">
      <c r="A1229" s="18"/>
      <c r="B1229" s="173"/>
      <c r="C1229" s="20"/>
      <c r="D1229" s="20"/>
      <c r="E1229" s="21"/>
      <c r="F1229" s="24"/>
    </row>
    <row r="1230" spans="1:6" ht="39" x14ac:dyDescent="0.25">
      <c r="A1230" s="18" t="s">
        <v>9</v>
      </c>
      <c r="B1230" s="25" t="s">
        <v>204</v>
      </c>
      <c r="C1230" s="20">
        <v>1</v>
      </c>
      <c r="D1230" s="20" t="s">
        <v>8</v>
      </c>
      <c r="E1230" s="21">
        <v>1800</v>
      </c>
      <c r="F1230" s="24">
        <f>C1230*E1230</f>
        <v>1800</v>
      </c>
    </row>
    <row r="1231" spans="1:6" x14ac:dyDescent="0.25">
      <c r="A1231" s="18"/>
      <c r="B1231" s="25"/>
      <c r="C1231" s="20"/>
      <c r="D1231" s="20"/>
      <c r="E1231" s="21"/>
      <c r="F1231" s="24"/>
    </row>
    <row r="1232" spans="1:6" x14ac:dyDescent="0.25">
      <c r="A1232" s="18"/>
      <c r="B1232" s="23" t="s">
        <v>195</v>
      </c>
      <c r="C1232" s="20"/>
      <c r="D1232" s="20"/>
      <c r="E1232" s="21"/>
      <c r="F1232" s="24"/>
    </row>
    <row r="1233" spans="1:6" x14ac:dyDescent="0.25">
      <c r="A1233" s="18"/>
      <c r="B1233" s="188"/>
      <c r="C1233" s="20"/>
      <c r="D1233" s="20"/>
      <c r="E1233" s="21"/>
      <c r="F1233" s="24"/>
    </row>
    <row r="1234" spans="1:6" ht="64.5" x14ac:dyDescent="0.25">
      <c r="A1234" s="18"/>
      <c r="B1234" s="189" t="s">
        <v>205</v>
      </c>
      <c r="C1234" s="20"/>
      <c r="D1234" s="20"/>
      <c r="E1234" s="21"/>
      <c r="F1234" s="24"/>
    </row>
    <row r="1235" spans="1:6" x14ac:dyDescent="0.25">
      <c r="A1235" s="18"/>
      <c r="B1235" s="190"/>
      <c r="C1235" s="20"/>
      <c r="D1235" s="20"/>
      <c r="E1235" s="21"/>
      <c r="F1235" s="24"/>
    </row>
    <row r="1236" spans="1:6" ht="26.25" x14ac:dyDescent="0.25">
      <c r="A1236" s="18" t="s">
        <v>10</v>
      </c>
      <c r="B1236" s="191" t="s">
        <v>206</v>
      </c>
      <c r="C1236" s="20">
        <v>2</v>
      </c>
      <c r="D1236" s="20" t="s">
        <v>8</v>
      </c>
      <c r="E1236" s="21">
        <v>450</v>
      </c>
      <c r="F1236" s="24">
        <f>C1236*E1236</f>
        <v>900</v>
      </c>
    </row>
    <row r="1237" spans="1:6" x14ac:dyDescent="0.25">
      <c r="A1237" s="18"/>
      <c r="B1237" s="25"/>
      <c r="C1237" s="20"/>
      <c r="D1237" s="20"/>
      <c r="E1237" s="21"/>
      <c r="F1237" s="24"/>
    </row>
    <row r="1238" spans="1:6" x14ac:dyDescent="0.25">
      <c r="A1238" s="18"/>
      <c r="B1238" s="131"/>
      <c r="C1238" s="20"/>
      <c r="D1238" s="20"/>
      <c r="E1238" s="21"/>
      <c r="F1238" s="24"/>
    </row>
    <row r="1239" spans="1:6" ht="26.25" thickBot="1" x14ac:dyDescent="0.3">
      <c r="A1239" s="100"/>
      <c r="B1239" s="129" t="s">
        <v>278</v>
      </c>
      <c r="C1239" s="102"/>
      <c r="D1239" s="102"/>
      <c r="E1239" s="103"/>
      <c r="F1239" s="104">
        <f>SUM(F1226:F1236)</f>
        <v>21300</v>
      </c>
    </row>
    <row r="1240" spans="1:6" x14ac:dyDescent="0.25">
      <c r="A1240" s="160" t="s">
        <v>0</v>
      </c>
      <c r="B1240" s="161" t="s">
        <v>1</v>
      </c>
      <c r="C1240" s="162" t="s">
        <v>2</v>
      </c>
      <c r="D1240" s="162" t="s">
        <v>3</v>
      </c>
      <c r="E1240" s="163" t="s">
        <v>4</v>
      </c>
      <c r="F1240" s="164" t="s">
        <v>5</v>
      </c>
    </row>
    <row r="1241" spans="1:6" x14ac:dyDescent="0.25">
      <c r="A1241" s="18"/>
      <c r="B1241" s="44"/>
      <c r="C1241" s="20"/>
      <c r="D1241" s="20"/>
      <c r="E1241" s="21"/>
      <c r="F1241" s="24"/>
    </row>
    <row r="1242" spans="1:6" x14ac:dyDescent="0.25">
      <c r="A1242" s="18"/>
      <c r="B1242" s="82" t="s">
        <v>227</v>
      </c>
      <c r="C1242" s="20"/>
      <c r="D1242" s="20"/>
      <c r="E1242" s="21"/>
      <c r="F1242" s="24"/>
    </row>
    <row r="1243" spans="1:6" x14ac:dyDescent="0.25">
      <c r="A1243" s="18"/>
      <c r="B1243" s="167"/>
      <c r="C1243" s="20"/>
      <c r="D1243" s="20"/>
      <c r="E1243" s="21"/>
      <c r="F1243" s="24"/>
    </row>
    <row r="1244" spans="1:6" x14ac:dyDescent="0.25">
      <c r="A1244" s="18"/>
      <c r="B1244" s="154" t="s">
        <v>228</v>
      </c>
      <c r="C1244" s="20"/>
      <c r="D1244" s="20"/>
      <c r="E1244" s="21"/>
      <c r="F1244" s="24"/>
    </row>
    <row r="1245" spans="1:6" x14ac:dyDescent="0.25">
      <c r="A1245" s="18"/>
      <c r="B1245" s="197"/>
      <c r="C1245" s="20"/>
      <c r="D1245" s="20"/>
      <c r="E1245" s="21"/>
      <c r="F1245" s="24"/>
    </row>
    <row r="1246" spans="1:6" x14ac:dyDescent="0.25">
      <c r="A1246" s="18"/>
      <c r="B1246" s="23" t="s">
        <v>229</v>
      </c>
      <c r="C1246" s="20"/>
      <c r="D1246" s="20"/>
      <c r="E1246" s="21"/>
      <c r="F1246" s="24"/>
    </row>
    <row r="1247" spans="1:6" x14ac:dyDescent="0.25">
      <c r="A1247" s="18"/>
      <c r="B1247" s="25"/>
      <c r="C1247" s="20"/>
      <c r="D1247" s="20"/>
      <c r="E1247" s="21"/>
      <c r="F1247" s="24"/>
    </row>
    <row r="1248" spans="1:6" ht="26.25" x14ac:dyDescent="0.25">
      <c r="A1248" s="18"/>
      <c r="B1248" s="19" t="s">
        <v>230</v>
      </c>
      <c r="C1248" s="20"/>
      <c r="D1248" s="20"/>
      <c r="E1248" s="21"/>
      <c r="F1248" s="22"/>
    </row>
    <row r="1249" spans="1:6" x14ac:dyDescent="0.25">
      <c r="A1249" s="18"/>
      <c r="B1249" s="23"/>
      <c r="C1249" s="20"/>
      <c r="D1249" s="20"/>
      <c r="E1249" s="21"/>
      <c r="F1249" s="24"/>
    </row>
    <row r="1250" spans="1:6" ht="26.25" x14ac:dyDescent="0.25">
      <c r="A1250" s="18" t="s">
        <v>7</v>
      </c>
      <c r="B1250" s="130" t="s">
        <v>231</v>
      </c>
      <c r="C1250" s="20">
        <v>66</v>
      </c>
      <c r="D1250" s="20" t="s">
        <v>8</v>
      </c>
      <c r="E1250" s="21">
        <v>450</v>
      </c>
      <c r="F1250" s="24">
        <f>C1250*E1250</f>
        <v>29700</v>
      </c>
    </row>
    <row r="1251" spans="1:6" x14ac:dyDescent="0.25">
      <c r="A1251" s="18"/>
      <c r="B1251" s="25"/>
      <c r="C1251" s="20"/>
      <c r="D1251" s="20"/>
      <c r="E1251" s="21"/>
      <c r="F1251" s="24"/>
    </row>
    <row r="1252" spans="1:6" ht="90" x14ac:dyDescent="0.25">
      <c r="A1252" s="18"/>
      <c r="B1252" s="19" t="s">
        <v>232</v>
      </c>
      <c r="C1252" s="20"/>
      <c r="D1252" s="20"/>
      <c r="E1252" s="21"/>
      <c r="F1252" s="24"/>
    </row>
    <row r="1253" spans="1:6" x14ac:dyDescent="0.25">
      <c r="A1253" s="18"/>
      <c r="B1253" s="131"/>
      <c r="C1253" s="20"/>
      <c r="D1253" s="20"/>
      <c r="E1253" s="21"/>
      <c r="F1253" s="24"/>
    </row>
    <row r="1254" spans="1:6" x14ac:dyDescent="0.25">
      <c r="A1254" s="18" t="s">
        <v>9</v>
      </c>
      <c r="B1254" s="132" t="s">
        <v>233</v>
      </c>
      <c r="C1254" s="20">
        <v>66</v>
      </c>
      <c r="D1254" s="20" t="s">
        <v>8</v>
      </c>
      <c r="E1254" s="21">
        <v>1950</v>
      </c>
      <c r="F1254" s="24">
        <f>C1254*E1254</f>
        <v>128700</v>
      </c>
    </row>
    <row r="1255" spans="1:6" x14ac:dyDescent="0.25">
      <c r="A1255" s="18"/>
      <c r="B1255" s="132"/>
      <c r="C1255" s="20"/>
      <c r="D1255" s="20"/>
      <c r="E1255" s="21"/>
      <c r="F1255" s="24"/>
    </row>
    <row r="1256" spans="1:6" ht="38.25" x14ac:dyDescent="0.25">
      <c r="A1256" s="18" t="s">
        <v>10</v>
      </c>
      <c r="B1256" s="198" t="s">
        <v>234</v>
      </c>
      <c r="C1256" s="20">
        <v>46</v>
      </c>
      <c r="D1256" s="20" t="s">
        <v>68</v>
      </c>
      <c r="E1256" s="21">
        <v>410</v>
      </c>
      <c r="F1256" s="24">
        <f>C1256*E1256</f>
        <v>18860</v>
      </c>
    </row>
    <row r="1257" spans="1:6" x14ac:dyDescent="0.25">
      <c r="A1257" s="72"/>
      <c r="B1257" s="43"/>
      <c r="C1257" s="87"/>
      <c r="D1257" s="87"/>
      <c r="E1257" s="88"/>
      <c r="F1257" s="24"/>
    </row>
    <row r="1258" spans="1:6" x14ac:dyDescent="0.25">
      <c r="A1258" s="18"/>
      <c r="B1258" s="154" t="s">
        <v>235</v>
      </c>
      <c r="C1258" s="20"/>
      <c r="D1258" s="20"/>
      <c r="E1258" s="21"/>
      <c r="F1258" s="24"/>
    </row>
    <row r="1259" spans="1:6" x14ac:dyDescent="0.25">
      <c r="A1259" s="18"/>
      <c r="B1259" s="154"/>
      <c r="C1259" s="20"/>
      <c r="D1259" s="20"/>
      <c r="E1259" s="21"/>
      <c r="F1259" s="24"/>
    </row>
    <row r="1260" spans="1:6" x14ac:dyDescent="0.25">
      <c r="A1260" s="18"/>
      <c r="B1260" s="154" t="s">
        <v>173</v>
      </c>
      <c r="C1260" s="20"/>
      <c r="D1260" s="20"/>
      <c r="E1260" s="21"/>
      <c r="F1260" s="24"/>
    </row>
    <row r="1261" spans="1:6" x14ac:dyDescent="0.25">
      <c r="A1261" s="18"/>
      <c r="B1261" s="44"/>
      <c r="C1261" s="20"/>
      <c r="D1261" s="20"/>
      <c r="E1261" s="21"/>
      <c r="F1261" s="24"/>
    </row>
    <row r="1262" spans="1:6" ht="39" x14ac:dyDescent="0.25">
      <c r="A1262" s="18"/>
      <c r="B1262" s="19" t="s">
        <v>236</v>
      </c>
      <c r="C1262" s="20"/>
      <c r="D1262" s="20"/>
      <c r="E1262" s="21"/>
      <c r="F1262" s="24"/>
    </row>
    <row r="1263" spans="1:6" x14ac:dyDescent="0.25">
      <c r="A1263" s="18"/>
      <c r="B1263" s="44"/>
      <c r="C1263" s="20"/>
      <c r="D1263" s="20"/>
      <c r="E1263" s="21"/>
      <c r="F1263" s="24"/>
    </row>
    <row r="1264" spans="1:6" x14ac:dyDescent="0.25">
      <c r="A1264" s="18" t="s">
        <v>11</v>
      </c>
      <c r="B1264" s="121" t="s">
        <v>237</v>
      </c>
      <c r="C1264" s="20">
        <v>76</v>
      </c>
      <c r="D1264" s="20" t="s">
        <v>8</v>
      </c>
      <c r="E1264" s="21">
        <v>450</v>
      </c>
      <c r="F1264" s="24">
        <f>C1264*E1264</f>
        <v>34200</v>
      </c>
    </row>
    <row r="1265" spans="1:6" x14ac:dyDescent="0.25">
      <c r="A1265" s="18"/>
      <c r="B1265" s="44"/>
      <c r="C1265" s="20"/>
      <c r="D1265" s="20"/>
      <c r="E1265" s="21"/>
      <c r="F1265" s="24"/>
    </row>
    <row r="1266" spans="1:6" ht="39" x14ac:dyDescent="0.25">
      <c r="A1266" s="18"/>
      <c r="B1266" s="19" t="s">
        <v>238</v>
      </c>
      <c r="C1266" s="20"/>
      <c r="D1266" s="20"/>
      <c r="E1266" s="21"/>
      <c r="F1266" s="24"/>
    </row>
    <row r="1267" spans="1:6" x14ac:dyDescent="0.25">
      <c r="A1267" s="18"/>
      <c r="B1267" s="44"/>
      <c r="C1267" s="20"/>
      <c r="D1267" s="20"/>
      <c r="E1267" s="21"/>
      <c r="F1267" s="24"/>
    </row>
    <row r="1268" spans="1:6" x14ac:dyDescent="0.25">
      <c r="A1268" s="18" t="s">
        <v>12</v>
      </c>
      <c r="B1268" s="121" t="s">
        <v>237</v>
      </c>
      <c r="C1268" s="20">
        <v>76</v>
      </c>
      <c r="D1268" s="20" t="s">
        <v>8</v>
      </c>
      <c r="E1268" s="21">
        <v>450</v>
      </c>
      <c r="F1268" s="24">
        <f>C1268*E1268</f>
        <v>34200</v>
      </c>
    </row>
    <row r="1269" spans="1:6" x14ac:dyDescent="0.25">
      <c r="A1269" s="18"/>
      <c r="B1269" s="121"/>
      <c r="C1269" s="20"/>
      <c r="D1269" s="20"/>
      <c r="E1269" s="21"/>
      <c r="F1269" s="24"/>
    </row>
    <row r="1270" spans="1:6" x14ac:dyDescent="0.25">
      <c r="A1270" s="18"/>
      <c r="B1270" s="121"/>
      <c r="C1270" s="20"/>
      <c r="D1270" s="20"/>
      <c r="E1270" s="21"/>
      <c r="F1270" s="24"/>
    </row>
    <row r="1271" spans="1:6" x14ac:dyDescent="0.25">
      <c r="A1271" s="18"/>
      <c r="B1271" s="121"/>
      <c r="C1271" s="20"/>
      <c r="D1271" s="20"/>
      <c r="E1271" s="21"/>
      <c r="F1271" s="24"/>
    </row>
    <row r="1272" spans="1:6" x14ac:dyDescent="0.25">
      <c r="A1272" s="18"/>
      <c r="B1272" s="121"/>
      <c r="C1272" s="20"/>
      <c r="D1272" s="20"/>
      <c r="E1272" s="21"/>
      <c r="F1272" s="24"/>
    </row>
    <row r="1273" spans="1:6" x14ac:dyDescent="0.25">
      <c r="A1273" s="18"/>
      <c r="B1273" s="44"/>
      <c r="C1273" s="20"/>
      <c r="D1273" s="20"/>
      <c r="E1273" s="21"/>
      <c r="F1273" s="24"/>
    </row>
    <row r="1274" spans="1:6" ht="15.75" thickBot="1" x14ac:dyDescent="0.3">
      <c r="A1274" s="100"/>
      <c r="B1274" s="101" t="s">
        <v>56</v>
      </c>
      <c r="C1274" s="102"/>
      <c r="D1274" s="102"/>
      <c r="E1274" s="103"/>
      <c r="F1274" s="104">
        <f>SUM(F1250:F1268)</f>
        <v>245660</v>
      </c>
    </row>
    <row r="1275" spans="1:6" x14ac:dyDescent="0.25">
      <c r="A1275" s="160" t="s">
        <v>0</v>
      </c>
      <c r="B1275" s="161" t="s">
        <v>1</v>
      </c>
      <c r="C1275" s="162" t="s">
        <v>2</v>
      </c>
      <c r="D1275" s="162" t="s">
        <v>3</v>
      </c>
      <c r="E1275" s="163" t="s">
        <v>4</v>
      </c>
      <c r="F1275" s="164" t="s">
        <v>5</v>
      </c>
    </row>
    <row r="1276" spans="1:6" x14ac:dyDescent="0.25">
      <c r="A1276" s="199"/>
      <c r="B1276" s="200"/>
      <c r="C1276" s="201"/>
      <c r="D1276" s="201"/>
      <c r="E1276" s="202"/>
      <c r="F1276" s="203"/>
    </row>
    <row r="1277" spans="1:6" x14ac:dyDescent="0.25">
      <c r="A1277" s="18"/>
      <c r="B1277" s="154" t="s">
        <v>239</v>
      </c>
      <c r="C1277" s="20"/>
      <c r="D1277" s="20"/>
      <c r="E1277" s="21"/>
      <c r="F1277" s="24"/>
    </row>
    <row r="1278" spans="1:6" x14ac:dyDescent="0.25">
      <c r="A1278" s="18"/>
      <c r="B1278" s="25"/>
      <c r="C1278" s="20"/>
      <c r="D1278" s="20"/>
      <c r="E1278" s="21"/>
      <c r="F1278" s="24"/>
    </row>
    <row r="1279" spans="1:6" ht="51.75" x14ac:dyDescent="0.25">
      <c r="A1279" s="18"/>
      <c r="B1279" s="154" t="s">
        <v>240</v>
      </c>
      <c r="C1279" s="20"/>
      <c r="D1279" s="20"/>
      <c r="E1279" s="21"/>
      <c r="F1279" s="24"/>
    </row>
    <row r="1280" spans="1:6" x14ac:dyDescent="0.25">
      <c r="A1280" s="18"/>
      <c r="B1280" s="25"/>
      <c r="C1280" s="20"/>
      <c r="D1280" s="20"/>
      <c r="E1280" s="21"/>
      <c r="F1280" s="24"/>
    </row>
    <row r="1281" spans="1:6" x14ac:dyDescent="0.25">
      <c r="A1281" s="18" t="s">
        <v>7</v>
      </c>
      <c r="B1281" s="25" t="s">
        <v>241</v>
      </c>
      <c r="C1281" s="20">
        <v>82</v>
      </c>
      <c r="D1281" s="20" t="s">
        <v>8</v>
      </c>
      <c r="E1281" s="21">
        <v>450</v>
      </c>
      <c r="F1281" s="24">
        <f>C1281*E1281</f>
        <v>36900</v>
      </c>
    </row>
    <row r="1282" spans="1:6" x14ac:dyDescent="0.25">
      <c r="A1282" s="18"/>
      <c r="B1282" s="174"/>
      <c r="C1282" s="20"/>
      <c r="D1282" s="20"/>
      <c r="E1282" s="21"/>
      <c r="F1282" s="24"/>
    </row>
    <row r="1283" spans="1:6" ht="39" x14ac:dyDescent="0.25">
      <c r="A1283" s="18"/>
      <c r="B1283" s="19" t="s">
        <v>242</v>
      </c>
      <c r="C1283" s="20"/>
      <c r="D1283" s="20"/>
      <c r="E1283" s="21"/>
      <c r="F1283" s="24"/>
    </row>
    <row r="1284" spans="1:6" x14ac:dyDescent="0.25">
      <c r="A1284" s="18"/>
      <c r="B1284" s="25"/>
      <c r="C1284" s="20"/>
      <c r="D1284" s="20"/>
      <c r="E1284" s="21"/>
      <c r="F1284" s="24"/>
    </row>
    <row r="1285" spans="1:6" x14ac:dyDescent="0.25">
      <c r="A1285" s="18" t="s">
        <v>9</v>
      </c>
      <c r="B1285" s="25" t="s">
        <v>243</v>
      </c>
      <c r="C1285" s="20">
        <f>C1281</f>
        <v>82</v>
      </c>
      <c r="D1285" s="20" t="s">
        <v>8</v>
      </c>
      <c r="E1285" s="21">
        <v>450</v>
      </c>
      <c r="F1285" s="24">
        <f>C1285*E1285</f>
        <v>36900</v>
      </c>
    </row>
    <row r="1286" spans="1:6" x14ac:dyDescent="0.25">
      <c r="A1286" s="18"/>
      <c r="B1286" s="44"/>
      <c r="C1286" s="20"/>
      <c r="D1286" s="20"/>
      <c r="E1286" s="21"/>
      <c r="F1286" s="24"/>
    </row>
    <row r="1287" spans="1:6" x14ac:dyDescent="0.25">
      <c r="A1287" s="18"/>
      <c r="B1287" s="23" t="s">
        <v>248</v>
      </c>
      <c r="C1287" s="20"/>
      <c r="D1287" s="20"/>
      <c r="E1287" s="21"/>
      <c r="F1287" s="24"/>
    </row>
    <row r="1288" spans="1:6" x14ac:dyDescent="0.25">
      <c r="A1288" s="18"/>
      <c r="B1288" s="25"/>
      <c r="C1288" s="20"/>
      <c r="D1288" s="20"/>
      <c r="E1288" s="21"/>
      <c r="F1288" s="24"/>
    </row>
    <row r="1289" spans="1:6" ht="51.75" x14ac:dyDescent="0.25">
      <c r="A1289" s="18"/>
      <c r="B1289" s="154" t="s">
        <v>249</v>
      </c>
      <c r="C1289" s="20"/>
      <c r="D1289" s="20"/>
      <c r="E1289" s="21"/>
      <c r="F1289" s="24"/>
    </row>
    <row r="1290" spans="1:6" x14ac:dyDescent="0.25">
      <c r="A1290" s="18"/>
      <c r="B1290" s="25"/>
      <c r="C1290" s="20"/>
      <c r="D1290" s="20"/>
      <c r="E1290" s="21"/>
      <c r="F1290" s="24"/>
    </row>
    <row r="1291" spans="1:6" x14ac:dyDescent="0.25">
      <c r="A1291" s="18" t="s">
        <v>10</v>
      </c>
      <c r="B1291" s="25" t="s">
        <v>250</v>
      </c>
      <c r="C1291" s="20">
        <v>71</v>
      </c>
      <c r="D1291" s="20" t="s">
        <v>8</v>
      </c>
      <c r="E1291" s="21">
        <v>520</v>
      </c>
      <c r="F1291" s="24">
        <f>C1291*E1291</f>
        <v>36920</v>
      </c>
    </row>
    <row r="1292" spans="1:6" x14ac:dyDescent="0.25">
      <c r="A1292" s="18"/>
      <c r="B1292" s="25"/>
      <c r="C1292" s="20"/>
      <c r="D1292" s="20"/>
      <c r="E1292" s="21"/>
      <c r="F1292" s="24"/>
    </row>
    <row r="1293" spans="1:6" ht="39" x14ac:dyDescent="0.25">
      <c r="A1293" s="18"/>
      <c r="B1293" s="19" t="s">
        <v>242</v>
      </c>
      <c r="C1293" s="20"/>
      <c r="D1293" s="20"/>
      <c r="E1293" s="21"/>
      <c r="F1293" s="24"/>
    </row>
    <row r="1294" spans="1:6" x14ac:dyDescent="0.25">
      <c r="A1294" s="18"/>
      <c r="B1294" s="25"/>
      <c r="C1294" s="20"/>
      <c r="D1294" s="20"/>
      <c r="E1294" s="21"/>
      <c r="F1294" s="24"/>
    </row>
    <row r="1295" spans="1:6" x14ac:dyDescent="0.25">
      <c r="A1295" s="18" t="s">
        <v>11</v>
      </c>
      <c r="B1295" s="25" t="s">
        <v>251</v>
      </c>
      <c r="C1295" s="20">
        <f>C1291</f>
        <v>71</v>
      </c>
      <c r="D1295" s="20" t="s">
        <v>8</v>
      </c>
      <c r="E1295" s="21">
        <v>450</v>
      </c>
      <c r="F1295" s="24">
        <f>C1295*E1295</f>
        <v>31950</v>
      </c>
    </row>
    <row r="1296" spans="1:6" x14ac:dyDescent="0.25">
      <c r="A1296" s="18"/>
      <c r="B1296" s="44"/>
      <c r="C1296" s="20"/>
      <c r="D1296" s="20"/>
      <c r="E1296" s="21"/>
      <c r="F1296" s="24"/>
    </row>
    <row r="1297" spans="1:6" ht="15.75" thickBot="1" x14ac:dyDescent="0.3">
      <c r="A1297" s="100"/>
      <c r="B1297" s="101" t="s">
        <v>56</v>
      </c>
      <c r="C1297" s="102"/>
      <c r="D1297" s="102"/>
      <c r="E1297" s="103"/>
      <c r="F1297" s="104">
        <f>SUM(F1281:F1295)</f>
        <v>142670</v>
      </c>
    </row>
    <row r="1298" spans="1:6" x14ac:dyDescent="0.25">
      <c r="A1298" s="13"/>
      <c r="B1298" s="14"/>
      <c r="C1298" s="15"/>
      <c r="D1298" s="15"/>
      <c r="E1298" s="97"/>
      <c r="F1298" s="16"/>
    </row>
    <row r="1299" spans="1:6" x14ac:dyDescent="0.25">
      <c r="A1299" s="18"/>
      <c r="B1299" s="158" t="s">
        <v>326</v>
      </c>
      <c r="C1299" s="20"/>
      <c r="D1299" s="20"/>
      <c r="E1299" s="21"/>
      <c r="F1299" s="159">
        <f>F1274</f>
        <v>245660</v>
      </c>
    </row>
    <row r="1300" spans="1:6" x14ac:dyDescent="0.25">
      <c r="A1300" s="18"/>
      <c r="B1300" s="44"/>
      <c r="C1300" s="20"/>
      <c r="D1300" s="20"/>
      <c r="E1300" s="21"/>
      <c r="F1300" s="159"/>
    </row>
    <row r="1301" spans="1:6" x14ac:dyDescent="0.25">
      <c r="A1301" s="18"/>
      <c r="B1301" s="158" t="s">
        <v>280</v>
      </c>
      <c r="C1301" s="20"/>
      <c r="D1301" s="20"/>
      <c r="E1301" s="21"/>
      <c r="F1301" s="159">
        <f>F1297</f>
        <v>142670</v>
      </c>
    </row>
    <row r="1302" spans="1:6" x14ac:dyDescent="0.25">
      <c r="A1302" s="13"/>
      <c r="B1302" s="17"/>
      <c r="C1302" s="15"/>
      <c r="D1302" s="15"/>
      <c r="E1302" s="97"/>
      <c r="F1302" s="16"/>
    </row>
    <row r="1303" spans="1:6" x14ac:dyDescent="0.25">
      <c r="A1303" s="13"/>
      <c r="B1303" s="17"/>
      <c r="C1303" s="15"/>
      <c r="D1303" s="15"/>
      <c r="E1303" s="97"/>
      <c r="F1303" s="16"/>
    </row>
    <row r="1304" spans="1:6" x14ac:dyDescent="0.25">
      <c r="A1304" s="13"/>
      <c r="B1304" s="17"/>
      <c r="C1304" s="15"/>
      <c r="D1304" s="15"/>
      <c r="E1304" s="97"/>
      <c r="F1304" s="16"/>
    </row>
    <row r="1305" spans="1:6" x14ac:dyDescent="0.25">
      <c r="A1305" s="13"/>
      <c r="B1305" s="17"/>
      <c r="C1305" s="15"/>
      <c r="D1305" s="15"/>
      <c r="E1305" s="97"/>
      <c r="F1305" s="16"/>
    </row>
    <row r="1306" spans="1:6" x14ac:dyDescent="0.25">
      <c r="A1306" s="13"/>
      <c r="B1306" s="17"/>
      <c r="C1306" s="15"/>
      <c r="D1306" s="15"/>
      <c r="E1306" s="97"/>
      <c r="F1306" s="16"/>
    </row>
    <row r="1307" spans="1:6" ht="14.25" customHeight="1" x14ac:dyDescent="0.25">
      <c r="A1307" s="13"/>
      <c r="B1307" s="17"/>
      <c r="C1307" s="15"/>
      <c r="D1307" s="15"/>
      <c r="E1307" s="97"/>
      <c r="F1307" s="16"/>
    </row>
    <row r="1308" spans="1:6" ht="14.25" customHeight="1" x14ac:dyDescent="0.25">
      <c r="A1308" s="13"/>
      <c r="B1308" s="17"/>
      <c r="C1308" s="15"/>
      <c r="D1308" s="15"/>
      <c r="E1308" s="97"/>
      <c r="F1308" s="16"/>
    </row>
    <row r="1309" spans="1:6" ht="14.25" customHeight="1" x14ac:dyDescent="0.25">
      <c r="A1309" s="13"/>
      <c r="B1309" s="17"/>
      <c r="C1309" s="15"/>
      <c r="D1309" s="15"/>
      <c r="E1309" s="97"/>
      <c r="F1309" s="16"/>
    </row>
    <row r="1310" spans="1:6" x14ac:dyDescent="0.25">
      <c r="A1310" s="13"/>
      <c r="B1310" s="17"/>
      <c r="C1310" s="15"/>
      <c r="D1310" s="15"/>
      <c r="E1310" s="97"/>
      <c r="F1310" s="16"/>
    </row>
    <row r="1311" spans="1:6" x14ac:dyDescent="0.25">
      <c r="A1311" s="13"/>
      <c r="B1311" s="17"/>
      <c r="C1311" s="15"/>
      <c r="D1311" s="15"/>
      <c r="E1311" s="97"/>
      <c r="F1311" s="16"/>
    </row>
    <row r="1312" spans="1:6" ht="26.25" thickBot="1" x14ac:dyDescent="0.3">
      <c r="A1312" s="100"/>
      <c r="B1312" s="129" t="s">
        <v>330</v>
      </c>
      <c r="C1312" s="102"/>
      <c r="D1312" s="102"/>
      <c r="E1312" s="103"/>
      <c r="F1312" s="104">
        <f>SUM(F1299:F1301)</f>
        <v>388330</v>
      </c>
    </row>
    <row r="1313" spans="1:6" x14ac:dyDescent="0.25">
      <c r="A1313" s="160" t="s">
        <v>0</v>
      </c>
      <c r="B1313" s="161" t="s">
        <v>1</v>
      </c>
      <c r="C1313" s="162" t="s">
        <v>2</v>
      </c>
      <c r="D1313" s="162" t="s">
        <v>3</v>
      </c>
      <c r="E1313" s="163" t="s">
        <v>4</v>
      </c>
      <c r="F1313" s="164" t="s">
        <v>5</v>
      </c>
    </row>
    <row r="1314" spans="1:6" x14ac:dyDescent="0.25">
      <c r="A1314" s="13"/>
      <c r="B1314" s="17"/>
      <c r="C1314" s="15"/>
      <c r="D1314" s="15"/>
      <c r="E1314" s="97"/>
      <c r="F1314" s="16"/>
    </row>
    <row r="1315" spans="1:6" x14ac:dyDescent="0.25">
      <c r="A1315" s="18"/>
      <c r="B1315" s="82" t="s">
        <v>257</v>
      </c>
      <c r="C1315" s="20"/>
      <c r="D1315" s="20"/>
      <c r="E1315" s="21"/>
      <c r="F1315" s="159"/>
    </row>
    <row r="1316" spans="1:6" x14ac:dyDescent="0.25">
      <c r="A1316" s="18"/>
      <c r="B1316" s="167"/>
      <c r="C1316" s="20"/>
      <c r="D1316" s="20"/>
      <c r="E1316" s="21"/>
      <c r="F1316" s="159"/>
    </row>
    <row r="1317" spans="1:6" x14ac:dyDescent="0.25">
      <c r="A1317" s="18"/>
      <c r="B1317" s="154" t="s">
        <v>258</v>
      </c>
      <c r="C1317" s="20"/>
      <c r="D1317" s="20"/>
      <c r="E1317" s="21"/>
      <c r="F1317" s="159"/>
    </row>
    <row r="1318" spans="1:6" x14ac:dyDescent="0.25">
      <c r="A1318" s="18"/>
      <c r="B1318" s="214"/>
      <c r="C1318" s="20"/>
      <c r="D1318" s="20"/>
      <c r="E1318" s="21"/>
      <c r="F1318" s="159"/>
    </row>
    <row r="1319" spans="1:6" x14ac:dyDescent="0.25">
      <c r="A1319" s="215"/>
      <c r="B1319" s="193" t="s">
        <v>259</v>
      </c>
      <c r="C1319" s="216"/>
      <c r="D1319" s="217"/>
      <c r="E1319" s="218"/>
      <c r="F1319" s="219"/>
    </row>
    <row r="1320" spans="1:6" x14ac:dyDescent="0.25">
      <c r="A1320" s="13"/>
      <c r="B1320" s="17"/>
      <c r="C1320" s="15"/>
      <c r="D1320" s="15"/>
      <c r="E1320" s="97"/>
      <c r="F1320" s="16"/>
    </row>
    <row r="1321" spans="1:6" x14ac:dyDescent="0.25">
      <c r="A1321" s="18"/>
      <c r="B1321" s="23" t="s">
        <v>130</v>
      </c>
      <c r="C1321" s="20"/>
      <c r="D1321" s="20"/>
      <c r="E1321" s="81"/>
      <c r="F1321" s="24"/>
    </row>
    <row r="1322" spans="1:6" x14ac:dyDescent="0.25">
      <c r="A1322" s="18"/>
      <c r="B1322" s="25"/>
      <c r="C1322" s="20"/>
      <c r="D1322" s="20"/>
      <c r="E1322" s="81"/>
      <c r="F1322" s="24"/>
    </row>
    <row r="1323" spans="1:6" ht="39" x14ac:dyDescent="0.25">
      <c r="A1323" s="18"/>
      <c r="B1323" s="23" t="s">
        <v>131</v>
      </c>
      <c r="C1323" s="20"/>
      <c r="D1323" s="20"/>
      <c r="E1323" s="81"/>
      <c r="F1323" s="24"/>
    </row>
    <row r="1324" spans="1:6" x14ac:dyDescent="0.25">
      <c r="A1324" s="18"/>
      <c r="B1324" s="155"/>
      <c r="C1324" s="20"/>
      <c r="D1324" s="20"/>
      <c r="E1324" s="81"/>
      <c r="F1324" s="24"/>
    </row>
    <row r="1325" spans="1:6" x14ac:dyDescent="0.25">
      <c r="A1325" s="18" t="s">
        <v>7</v>
      </c>
      <c r="B1325" s="25" t="s">
        <v>260</v>
      </c>
      <c r="C1325" s="20">
        <v>5</v>
      </c>
      <c r="D1325" s="20" t="s">
        <v>8</v>
      </c>
      <c r="E1325" s="21">
        <v>1353</v>
      </c>
      <c r="F1325" s="24">
        <f>C1325*E1325</f>
        <v>6765</v>
      </c>
    </row>
    <row r="1326" spans="1:6" x14ac:dyDescent="0.25">
      <c r="A1326" s="18"/>
      <c r="B1326" s="214"/>
      <c r="C1326" s="20"/>
      <c r="D1326" s="20"/>
      <c r="E1326" s="21"/>
      <c r="F1326" s="159"/>
    </row>
    <row r="1327" spans="1:6" x14ac:dyDescent="0.25">
      <c r="A1327" s="18"/>
      <c r="B1327" s="151" t="s">
        <v>261</v>
      </c>
      <c r="C1327" s="20"/>
      <c r="D1327" s="20"/>
      <c r="E1327" s="21"/>
      <c r="F1327" s="159"/>
    </row>
    <row r="1328" spans="1:6" x14ac:dyDescent="0.25">
      <c r="A1328" s="18"/>
      <c r="B1328" s="214"/>
      <c r="C1328" s="20"/>
      <c r="D1328" s="20"/>
      <c r="E1328" s="21"/>
      <c r="F1328" s="159"/>
    </row>
    <row r="1329" spans="1:6" ht="25.5" x14ac:dyDescent="0.25">
      <c r="A1329" s="18" t="s">
        <v>9</v>
      </c>
      <c r="B1329" s="44" t="s">
        <v>262</v>
      </c>
      <c r="C1329" s="20">
        <v>5</v>
      </c>
      <c r="D1329" s="20" t="s">
        <v>8</v>
      </c>
      <c r="E1329" s="21">
        <v>1200</v>
      </c>
      <c r="F1329" s="24">
        <f>C1329*E1329</f>
        <v>6000</v>
      </c>
    </row>
    <row r="1330" spans="1:6" x14ac:dyDescent="0.25">
      <c r="A1330" s="18"/>
      <c r="B1330" s="214"/>
      <c r="C1330" s="20"/>
      <c r="D1330" s="20"/>
      <c r="E1330" s="21"/>
      <c r="F1330" s="159"/>
    </row>
    <row r="1331" spans="1:6" ht="25.5" x14ac:dyDescent="0.25">
      <c r="A1331" s="18" t="s">
        <v>10</v>
      </c>
      <c r="B1331" s="94" t="s">
        <v>263</v>
      </c>
      <c r="C1331" s="20">
        <v>5</v>
      </c>
      <c r="D1331" s="20" t="s">
        <v>8</v>
      </c>
      <c r="E1331" s="21">
        <f>12000*0.07</f>
        <v>840.00000000000011</v>
      </c>
      <c r="F1331" s="24">
        <f>C1331*E1331</f>
        <v>4200.0000000000009</v>
      </c>
    </row>
    <row r="1332" spans="1:6" x14ac:dyDescent="0.25">
      <c r="A1332" s="18"/>
      <c r="B1332" s="214"/>
      <c r="C1332" s="20"/>
      <c r="D1332" s="20"/>
      <c r="E1332" s="21"/>
      <c r="F1332" s="159"/>
    </row>
    <row r="1333" spans="1:6" x14ac:dyDescent="0.25">
      <c r="A1333" s="18"/>
      <c r="B1333" s="151" t="s">
        <v>264</v>
      </c>
      <c r="C1333" s="20"/>
      <c r="D1333" s="20"/>
      <c r="E1333" s="21"/>
      <c r="F1333" s="159"/>
    </row>
    <row r="1334" spans="1:6" x14ac:dyDescent="0.25">
      <c r="A1334" s="18"/>
      <c r="B1334" s="214"/>
      <c r="C1334" s="20"/>
      <c r="D1334" s="20"/>
      <c r="E1334" s="21"/>
      <c r="F1334" s="159"/>
    </row>
    <row r="1335" spans="1:6" ht="38.25" x14ac:dyDescent="0.25">
      <c r="A1335" s="18" t="s">
        <v>11</v>
      </c>
      <c r="B1335" s="94" t="s">
        <v>265</v>
      </c>
      <c r="C1335" s="20">
        <v>5</v>
      </c>
      <c r="D1335" s="20" t="s">
        <v>8</v>
      </c>
      <c r="E1335" s="21">
        <v>390</v>
      </c>
      <c r="F1335" s="24">
        <f>C1335*E1335</f>
        <v>1950</v>
      </c>
    </row>
    <row r="1336" spans="1:6" x14ac:dyDescent="0.25">
      <c r="A1336" s="18"/>
      <c r="B1336" s="214"/>
      <c r="C1336" s="20"/>
      <c r="D1336" s="20"/>
      <c r="E1336" s="21"/>
      <c r="F1336" s="159"/>
    </row>
    <row r="1337" spans="1:6" x14ac:dyDescent="0.25">
      <c r="A1337" s="18"/>
      <c r="B1337" s="151" t="s">
        <v>266</v>
      </c>
      <c r="C1337" s="20"/>
      <c r="D1337" s="20"/>
      <c r="E1337" s="21"/>
      <c r="F1337" s="159"/>
    </row>
    <row r="1338" spans="1:6" x14ac:dyDescent="0.25">
      <c r="A1338" s="18"/>
      <c r="B1338" s="220"/>
      <c r="C1338" s="20"/>
      <c r="D1338" s="20"/>
      <c r="E1338" s="21"/>
      <c r="F1338" s="159"/>
    </row>
    <row r="1339" spans="1:6" ht="25.5" x14ac:dyDescent="0.25">
      <c r="A1339" s="18" t="s">
        <v>12</v>
      </c>
      <c r="B1339" s="94" t="s">
        <v>267</v>
      </c>
      <c r="C1339" s="20">
        <v>5</v>
      </c>
      <c r="D1339" s="20" t="s">
        <v>8</v>
      </c>
      <c r="E1339" s="21">
        <v>1600</v>
      </c>
      <c r="F1339" s="24">
        <f>E1339*C1339</f>
        <v>8000</v>
      </c>
    </row>
    <row r="1340" spans="1:6" x14ac:dyDescent="0.25">
      <c r="A1340" s="18"/>
      <c r="B1340" s="220"/>
      <c r="C1340" s="20"/>
      <c r="D1340" s="20"/>
      <c r="E1340" s="21"/>
      <c r="F1340" s="159"/>
    </row>
    <row r="1341" spans="1:6" ht="51.75" x14ac:dyDescent="0.25">
      <c r="A1341" s="18"/>
      <c r="B1341" s="154" t="s">
        <v>240</v>
      </c>
      <c r="C1341" s="20"/>
      <c r="D1341" s="20"/>
      <c r="E1341" s="21"/>
      <c r="F1341" s="24"/>
    </row>
    <row r="1342" spans="1:6" x14ac:dyDescent="0.25">
      <c r="A1342" s="18"/>
      <c r="B1342" s="25"/>
      <c r="C1342" s="20"/>
      <c r="D1342" s="20"/>
      <c r="E1342" s="21"/>
      <c r="F1342" s="24"/>
    </row>
    <row r="1343" spans="1:6" x14ac:dyDescent="0.25">
      <c r="A1343" s="18" t="s">
        <v>27</v>
      </c>
      <c r="B1343" s="25" t="s">
        <v>268</v>
      </c>
      <c r="C1343" s="20">
        <v>10</v>
      </c>
      <c r="D1343" s="20" t="s">
        <v>8</v>
      </c>
      <c r="E1343" s="21">
        <v>520</v>
      </c>
      <c r="F1343" s="24">
        <f>C1343*E1343</f>
        <v>5200</v>
      </c>
    </row>
    <row r="1345" spans="1:6" ht="39" x14ac:dyDescent="0.25">
      <c r="A1345" s="18"/>
      <c r="B1345" s="19" t="s">
        <v>242</v>
      </c>
      <c r="C1345" s="20"/>
      <c r="D1345" s="20"/>
      <c r="E1345" s="21"/>
      <c r="F1345" s="24"/>
    </row>
    <row r="1346" spans="1:6" x14ac:dyDescent="0.25">
      <c r="A1346" s="18"/>
      <c r="B1346" s="25"/>
      <c r="C1346" s="20"/>
      <c r="D1346" s="20"/>
      <c r="E1346" s="21"/>
      <c r="F1346" s="24"/>
    </row>
    <row r="1347" spans="1:6" x14ac:dyDescent="0.25">
      <c r="A1347" s="18" t="s">
        <v>61</v>
      </c>
      <c r="B1347" s="25" t="s">
        <v>269</v>
      </c>
      <c r="C1347" s="20">
        <v>10</v>
      </c>
      <c r="D1347" s="20" t="s">
        <v>8</v>
      </c>
      <c r="E1347" s="21">
        <v>450</v>
      </c>
      <c r="F1347" s="24">
        <f>C1347*E1347</f>
        <v>4500</v>
      </c>
    </row>
    <row r="1348" spans="1:6" x14ac:dyDescent="0.25">
      <c r="F1348" s="86"/>
    </row>
    <row r="1349" spans="1:6" ht="15.75" thickBot="1" x14ac:dyDescent="0.3">
      <c r="A1349" s="100"/>
      <c r="B1349" s="101" t="s">
        <v>56</v>
      </c>
      <c r="C1349" s="102"/>
      <c r="D1349" s="102"/>
      <c r="E1349" s="103"/>
      <c r="F1349" s="104">
        <f>SUM(F1325:F1347)</f>
        <v>36615</v>
      </c>
    </row>
    <row r="1350" spans="1:6" x14ac:dyDescent="0.25">
      <c r="A1350" s="160" t="s">
        <v>0</v>
      </c>
      <c r="B1350" s="161" t="s">
        <v>1</v>
      </c>
      <c r="C1350" s="162" t="s">
        <v>2</v>
      </c>
      <c r="D1350" s="162" t="s">
        <v>3</v>
      </c>
      <c r="E1350" s="163" t="s">
        <v>4</v>
      </c>
      <c r="F1350" s="164" t="s">
        <v>5</v>
      </c>
    </row>
    <row r="1352" spans="1:6" ht="25.5" x14ac:dyDescent="0.25">
      <c r="A1352" s="18"/>
      <c r="B1352" s="151" t="s">
        <v>270</v>
      </c>
      <c r="C1352" s="20"/>
      <c r="D1352" s="20"/>
      <c r="E1352" s="21"/>
      <c r="F1352" s="159"/>
    </row>
    <row r="1353" spans="1:6" x14ac:dyDescent="0.25">
      <c r="A1353" s="18"/>
      <c r="B1353" s="151"/>
      <c r="C1353" s="20"/>
      <c r="D1353" s="20"/>
      <c r="E1353" s="21"/>
      <c r="F1353" s="159"/>
    </row>
    <row r="1354" spans="1:6" ht="38.25" x14ac:dyDescent="0.25">
      <c r="A1354" s="18" t="s">
        <v>7</v>
      </c>
      <c r="B1354" s="94" t="s">
        <v>271</v>
      </c>
      <c r="C1354" s="20">
        <v>5</v>
      </c>
      <c r="D1354" s="20" t="s">
        <v>8</v>
      </c>
      <c r="E1354" s="21">
        <v>17610</v>
      </c>
      <c r="F1354" s="24">
        <f>E1354*C1354</f>
        <v>88050</v>
      </c>
    </row>
    <row r="1355" spans="1:6" x14ac:dyDescent="0.25">
      <c r="A1355" s="72"/>
      <c r="B1355" s="66"/>
      <c r="C1355" s="87"/>
      <c r="D1355" s="87"/>
      <c r="E1355" s="88"/>
      <c r="F1355" s="22"/>
    </row>
    <row r="1356" spans="1:6" ht="15.75" thickBot="1" x14ac:dyDescent="0.3">
      <c r="A1356" s="100"/>
      <c r="B1356" s="101" t="s">
        <v>56</v>
      </c>
      <c r="C1356" s="102"/>
      <c r="D1356" s="102"/>
      <c r="E1356" s="103"/>
      <c r="F1356" s="104">
        <f>F1354</f>
        <v>88050</v>
      </c>
    </row>
    <row r="1358" spans="1:6" x14ac:dyDescent="0.25">
      <c r="A1358" s="18"/>
      <c r="B1358" s="158" t="s">
        <v>279</v>
      </c>
      <c r="C1358" s="20"/>
      <c r="D1358" s="20"/>
      <c r="E1358" s="21"/>
      <c r="F1358" s="159">
        <f>F1349</f>
        <v>36615</v>
      </c>
    </row>
    <row r="1359" spans="1:6" x14ac:dyDescent="0.25">
      <c r="A1359" s="18"/>
      <c r="B1359" s="44"/>
      <c r="C1359" s="20"/>
      <c r="D1359" s="20"/>
      <c r="E1359" s="21"/>
      <c r="F1359" s="159"/>
    </row>
    <row r="1360" spans="1:6" x14ac:dyDescent="0.25">
      <c r="A1360" s="18"/>
      <c r="B1360" s="158" t="s">
        <v>327</v>
      </c>
      <c r="C1360" s="20"/>
      <c r="D1360" s="20"/>
      <c r="E1360" s="21"/>
      <c r="F1360" s="159">
        <f>F1356</f>
        <v>88050</v>
      </c>
    </row>
    <row r="1362" spans="1:6" x14ac:dyDescent="0.25">
      <c r="A1362" s="18"/>
      <c r="B1362" s="26"/>
      <c r="C1362" s="20"/>
      <c r="D1362" s="20"/>
      <c r="E1362" s="21"/>
      <c r="F1362" s="24"/>
    </row>
    <row r="1363" spans="1:6" x14ac:dyDescent="0.25">
      <c r="A1363" s="18"/>
      <c r="B1363" s="27"/>
      <c r="C1363" s="20"/>
      <c r="D1363" s="20"/>
      <c r="E1363" s="21"/>
      <c r="F1363" s="24"/>
    </row>
    <row r="1364" spans="1:6" x14ac:dyDescent="0.25">
      <c r="A1364" s="18"/>
      <c r="B1364" s="66"/>
      <c r="C1364" s="20"/>
      <c r="D1364" s="20"/>
      <c r="E1364" s="21"/>
      <c r="F1364" s="22"/>
    </row>
    <row r="1365" spans="1:6" x14ac:dyDescent="0.25">
      <c r="A1365" s="18"/>
      <c r="B1365" s="26"/>
      <c r="C1365" s="20"/>
      <c r="D1365" s="20"/>
      <c r="E1365" s="21"/>
      <c r="F1365" s="24"/>
    </row>
    <row r="1366" spans="1:6" x14ac:dyDescent="0.25">
      <c r="A1366" s="18"/>
      <c r="B1366" s="85"/>
      <c r="C1366" s="20"/>
      <c r="D1366" s="20"/>
      <c r="E1366" s="21"/>
      <c r="F1366" s="24"/>
    </row>
    <row r="1368" spans="1:6" x14ac:dyDescent="0.25">
      <c r="B1368" s="77"/>
    </row>
    <row r="1370" spans="1:6" x14ac:dyDescent="0.25">
      <c r="A1370" s="78"/>
      <c r="C1370" s="80"/>
      <c r="D1370" s="80"/>
      <c r="E1370" s="80"/>
      <c r="F1370" s="105"/>
    </row>
    <row r="1372" spans="1:6" x14ac:dyDescent="0.25">
      <c r="A1372" s="18"/>
      <c r="B1372" s="66"/>
      <c r="C1372" s="20"/>
      <c r="D1372" s="20"/>
      <c r="E1372" s="21"/>
      <c r="F1372" s="24"/>
    </row>
    <row r="1373" spans="1:6" x14ac:dyDescent="0.25">
      <c r="A1373" s="18"/>
      <c r="B1373" s="106"/>
      <c r="C1373" s="20"/>
      <c r="D1373" s="20"/>
      <c r="E1373" s="21"/>
      <c r="F1373" s="24"/>
    </row>
    <row r="1374" spans="1:6" x14ac:dyDescent="0.25">
      <c r="A1374" s="18"/>
      <c r="B1374" s="83"/>
      <c r="C1374" s="20"/>
      <c r="D1374" s="20"/>
      <c r="E1374" s="21"/>
      <c r="F1374" s="24"/>
    </row>
    <row r="1376" spans="1:6" x14ac:dyDescent="0.25">
      <c r="A1376" s="18"/>
      <c r="B1376" s="82"/>
      <c r="C1376" s="20"/>
      <c r="D1376" s="20"/>
      <c r="E1376" s="21"/>
      <c r="F1376" s="24"/>
    </row>
    <row r="1377" spans="1:6" x14ac:dyDescent="0.25">
      <c r="A1377" s="18"/>
      <c r="B1377" s="82"/>
      <c r="C1377" s="20"/>
      <c r="D1377" s="20"/>
      <c r="E1377" s="21"/>
      <c r="F1377" s="24"/>
    </row>
    <row r="1378" spans="1:6" x14ac:dyDescent="0.25">
      <c r="A1378" s="18"/>
      <c r="B1378" s="82"/>
      <c r="C1378" s="20"/>
      <c r="D1378" s="20"/>
      <c r="E1378" s="21"/>
      <c r="F1378" s="24"/>
    </row>
    <row r="1379" spans="1:6" x14ac:dyDescent="0.25">
      <c r="A1379" s="18"/>
      <c r="B1379" s="44"/>
      <c r="C1379" s="20"/>
      <c r="D1379" s="20"/>
      <c r="E1379" s="21"/>
      <c r="F1379" s="24"/>
    </row>
    <row r="1380" spans="1:6" x14ac:dyDescent="0.25">
      <c r="A1380" s="18"/>
      <c r="B1380" s="66"/>
      <c r="C1380" s="20"/>
      <c r="D1380" s="20"/>
      <c r="E1380" s="21"/>
      <c r="F1380" s="24"/>
    </row>
    <row r="1381" spans="1:6" x14ac:dyDescent="0.25">
      <c r="A1381" s="18"/>
      <c r="B1381" s="44"/>
      <c r="C1381" s="20"/>
      <c r="D1381" s="20"/>
      <c r="E1381" s="21"/>
      <c r="F1381" s="24"/>
    </row>
    <row r="1382" spans="1:6" x14ac:dyDescent="0.25">
      <c r="A1382" s="18"/>
      <c r="B1382" s="46"/>
      <c r="C1382" s="20"/>
      <c r="D1382" s="20"/>
      <c r="E1382" s="21"/>
      <c r="F1382" s="24"/>
    </row>
    <row r="1383" spans="1:6" x14ac:dyDescent="0.25">
      <c r="A1383" s="18"/>
      <c r="B1383" s="44"/>
      <c r="C1383" s="20"/>
      <c r="D1383" s="20"/>
      <c r="E1383" s="21"/>
      <c r="F1383" s="24"/>
    </row>
    <row r="1384" spans="1:6" x14ac:dyDescent="0.25">
      <c r="A1384" s="18"/>
      <c r="B1384" s="66"/>
      <c r="C1384" s="20"/>
      <c r="D1384" s="20"/>
      <c r="E1384" s="21"/>
      <c r="F1384" s="24"/>
    </row>
    <row r="1385" spans="1:6" x14ac:dyDescent="0.25">
      <c r="A1385" s="18"/>
      <c r="B1385" s="44"/>
      <c r="C1385" s="20"/>
      <c r="D1385" s="20"/>
      <c r="E1385" s="21"/>
      <c r="F1385" s="24"/>
    </row>
    <row r="1386" spans="1:6" x14ac:dyDescent="0.25">
      <c r="A1386" s="18"/>
      <c r="B1386" s="46"/>
      <c r="C1386" s="20"/>
      <c r="D1386" s="20"/>
      <c r="E1386" s="21"/>
      <c r="F1386" s="24"/>
    </row>
    <row r="1388" spans="1:6" x14ac:dyDescent="0.25">
      <c r="A1388" s="107"/>
      <c r="B1388" s="14"/>
      <c r="C1388" s="108"/>
      <c r="D1388" s="108"/>
      <c r="E1388" s="17"/>
      <c r="F1388" s="109"/>
    </row>
    <row r="1389" spans="1:6" x14ac:dyDescent="0.25">
      <c r="A1389" s="107"/>
      <c r="B1389" s="14"/>
      <c r="C1389" s="108"/>
      <c r="D1389" s="108"/>
      <c r="E1389" s="17"/>
      <c r="F1389" s="109"/>
    </row>
    <row r="1390" spans="1:6" x14ac:dyDescent="0.25">
      <c r="A1390" s="107"/>
      <c r="B1390" s="14"/>
      <c r="C1390" s="108"/>
      <c r="D1390" s="108"/>
      <c r="E1390" s="17"/>
      <c r="F1390" s="109"/>
    </row>
    <row r="1391" spans="1:6" x14ac:dyDescent="0.25">
      <c r="A1391" s="107"/>
      <c r="B1391" s="17"/>
      <c r="C1391" s="108"/>
      <c r="D1391" s="108"/>
      <c r="E1391" s="17"/>
      <c r="F1391" s="109"/>
    </row>
    <row r="1392" spans="1:6" x14ac:dyDescent="0.25">
      <c r="A1392" s="107"/>
      <c r="B1392" s="17"/>
      <c r="C1392" s="108"/>
      <c r="D1392" s="108"/>
      <c r="E1392" s="108"/>
      <c r="F1392" s="109"/>
    </row>
    <row r="1393" spans="1:6" ht="26.25" thickBot="1" x14ac:dyDescent="0.3">
      <c r="A1393" s="126"/>
      <c r="B1393" s="221" t="s">
        <v>329</v>
      </c>
      <c r="C1393" s="127"/>
      <c r="D1393" s="127"/>
      <c r="E1393" s="128"/>
      <c r="F1393" s="104">
        <f>SUM(F1358:F1360)</f>
        <v>124665</v>
      </c>
    </row>
    <row r="1394" spans="1:6" x14ac:dyDescent="0.25">
      <c r="A1394" s="235" t="s">
        <v>0</v>
      </c>
      <c r="B1394" s="236" t="s">
        <v>1</v>
      </c>
      <c r="C1394" s="237" t="s">
        <v>13</v>
      </c>
      <c r="D1394" s="237"/>
      <c r="E1394" s="238"/>
      <c r="F1394" s="239" t="s">
        <v>5</v>
      </c>
    </row>
    <row r="1395" spans="1:6" x14ac:dyDescent="0.25">
      <c r="A1395" s="18"/>
      <c r="B1395" s="158"/>
      <c r="C1395" s="20"/>
      <c r="D1395" s="20"/>
      <c r="E1395" s="20"/>
      <c r="F1395" s="24"/>
    </row>
    <row r="1396" spans="1:6" x14ac:dyDescent="0.25">
      <c r="A1396" s="18"/>
      <c r="B1396" s="225" t="s">
        <v>328</v>
      </c>
      <c r="C1396" s="209"/>
      <c r="D1396" s="20"/>
      <c r="E1396" s="20"/>
      <c r="F1396" s="159"/>
    </row>
    <row r="1397" spans="1:6" x14ac:dyDescent="0.25">
      <c r="A1397" s="18"/>
      <c r="B1397" s="180"/>
      <c r="C1397" s="20"/>
      <c r="D1397" s="20"/>
      <c r="E1397" s="20"/>
      <c r="F1397" s="159"/>
    </row>
    <row r="1398" spans="1:6" x14ac:dyDescent="0.25">
      <c r="A1398" s="226" t="s">
        <v>7</v>
      </c>
      <c r="B1398" s="227" t="s">
        <v>285</v>
      </c>
      <c r="C1398" s="20">
        <v>29</v>
      </c>
      <c r="D1398" s="20"/>
      <c r="E1398" s="20"/>
      <c r="F1398" s="159">
        <f>F1107</f>
        <v>537620</v>
      </c>
    </row>
    <row r="1399" spans="1:6" x14ac:dyDescent="0.25">
      <c r="A1399" s="226"/>
      <c r="B1399" s="180"/>
      <c r="C1399" s="20"/>
      <c r="D1399" s="20"/>
      <c r="E1399" s="20"/>
      <c r="F1399" s="159"/>
    </row>
    <row r="1400" spans="1:6" x14ac:dyDescent="0.25">
      <c r="A1400" s="226" t="s">
        <v>9</v>
      </c>
      <c r="B1400" s="227" t="s">
        <v>266</v>
      </c>
      <c r="C1400" s="20">
        <v>30</v>
      </c>
      <c r="D1400" s="20"/>
      <c r="E1400" s="20"/>
      <c r="F1400" s="159">
        <f>F1145</f>
        <v>142200</v>
      </c>
    </row>
    <row r="1401" spans="1:6" x14ac:dyDescent="0.25">
      <c r="A1401" s="226"/>
      <c r="B1401" s="180"/>
      <c r="C1401" s="20"/>
      <c r="D1401" s="20"/>
      <c r="E1401" s="20"/>
      <c r="F1401" s="159"/>
    </row>
    <row r="1402" spans="1:6" x14ac:dyDescent="0.25">
      <c r="A1402" s="226" t="s">
        <v>10</v>
      </c>
      <c r="B1402" s="227" t="s">
        <v>286</v>
      </c>
      <c r="C1402" s="20">
        <v>32</v>
      </c>
      <c r="D1402" s="20"/>
      <c r="E1402" s="20"/>
      <c r="F1402" s="159">
        <f>F1217</f>
        <v>26110</v>
      </c>
    </row>
    <row r="1403" spans="1:6" x14ac:dyDescent="0.25">
      <c r="A1403" s="226"/>
      <c r="B1403" s="227"/>
      <c r="C1403" s="20"/>
      <c r="D1403" s="20"/>
      <c r="E1403" s="20"/>
      <c r="F1403" s="159"/>
    </row>
    <row r="1404" spans="1:6" x14ac:dyDescent="0.25">
      <c r="A1404" s="226" t="s">
        <v>11</v>
      </c>
      <c r="B1404" s="227" t="s">
        <v>287</v>
      </c>
      <c r="C1404" s="20">
        <v>33</v>
      </c>
      <c r="D1404" s="20"/>
      <c r="E1404" s="20"/>
      <c r="F1404" s="159">
        <f>F1239</f>
        <v>21300</v>
      </c>
    </row>
    <row r="1405" spans="1:6" x14ac:dyDescent="0.25">
      <c r="A1405" s="226"/>
      <c r="B1405" s="227"/>
      <c r="C1405" s="20"/>
      <c r="D1405" s="20"/>
      <c r="E1405" s="20"/>
      <c r="F1405" s="159"/>
    </row>
    <row r="1406" spans="1:6" x14ac:dyDescent="0.25">
      <c r="A1406" s="226" t="s">
        <v>12</v>
      </c>
      <c r="B1406" s="227" t="s">
        <v>288</v>
      </c>
      <c r="C1406" s="20">
        <v>35</v>
      </c>
      <c r="D1406" s="20"/>
      <c r="E1406" s="20"/>
      <c r="F1406" s="159">
        <f>F1312</f>
        <v>388330</v>
      </c>
    </row>
    <row r="1407" spans="1:6" x14ac:dyDescent="0.25">
      <c r="A1407" s="91"/>
      <c r="B1407" s="25"/>
      <c r="C1407" s="167"/>
      <c r="D1407" s="167"/>
      <c r="E1407" s="205"/>
      <c r="F1407" s="228"/>
    </row>
    <row r="1408" spans="1:6" x14ac:dyDescent="0.25">
      <c r="A1408" s="181" t="s">
        <v>27</v>
      </c>
      <c r="B1408" s="185" t="s">
        <v>321</v>
      </c>
      <c r="C1408" s="229">
        <v>37</v>
      </c>
      <c r="D1408" s="106"/>
      <c r="E1408" s="205"/>
      <c r="F1408" s="230">
        <f>F1393</f>
        <v>124665</v>
      </c>
    </row>
    <row r="1409" spans="1:6" x14ac:dyDescent="0.25">
      <c r="A1409" s="240"/>
      <c r="B1409" s="214"/>
      <c r="C1409" s="241"/>
      <c r="D1409" s="241"/>
      <c r="E1409" s="242"/>
      <c r="F1409" s="243"/>
    </row>
    <row r="1410" spans="1:6" x14ac:dyDescent="0.25">
      <c r="A1410" s="215"/>
      <c r="B1410" s="231"/>
      <c r="C1410" s="216"/>
      <c r="D1410" s="232"/>
      <c r="E1410" s="95"/>
      <c r="F1410" s="233"/>
    </row>
    <row r="1411" spans="1:6" x14ac:dyDescent="0.25">
      <c r="A1411" s="215"/>
      <c r="B1411" s="132"/>
      <c r="C1411" s="216"/>
      <c r="D1411" s="232"/>
      <c r="E1411" s="95"/>
      <c r="F1411" s="233"/>
    </row>
    <row r="1412" spans="1:6" x14ac:dyDescent="0.25">
      <c r="A1412" s="215"/>
      <c r="B1412" s="154"/>
      <c r="C1412" s="216"/>
      <c r="D1412" s="232"/>
      <c r="E1412" s="95"/>
      <c r="F1412" s="233"/>
    </row>
    <row r="1413" spans="1:6" x14ac:dyDescent="0.25">
      <c r="A1413" s="215"/>
      <c r="B1413" s="132"/>
      <c r="C1413" s="216"/>
      <c r="D1413" s="232"/>
      <c r="E1413" s="95"/>
      <c r="F1413" s="233"/>
    </row>
    <row r="1414" spans="1:6" x14ac:dyDescent="0.25">
      <c r="A1414" s="91"/>
      <c r="B1414" s="25"/>
      <c r="C1414" s="106"/>
      <c r="D1414" s="106"/>
      <c r="E1414" s="205"/>
      <c r="F1414" s="204"/>
    </row>
    <row r="1415" spans="1:6" x14ac:dyDescent="0.25">
      <c r="A1415" s="91"/>
      <c r="B1415" s="25"/>
      <c r="C1415" s="106"/>
      <c r="D1415" s="106"/>
      <c r="E1415" s="205"/>
      <c r="F1415" s="204"/>
    </row>
    <row r="1416" spans="1:6" x14ac:dyDescent="0.25">
      <c r="A1416" s="91"/>
      <c r="B1416" s="25"/>
      <c r="C1416" s="229"/>
      <c r="D1416" s="106"/>
      <c r="E1416" s="205"/>
      <c r="F1416" s="204"/>
    </row>
    <row r="1417" spans="1:6" x14ac:dyDescent="0.25">
      <c r="A1417" s="18"/>
      <c r="B1417" s="25"/>
      <c r="C1417" s="20"/>
      <c r="D1417" s="20"/>
      <c r="E1417" s="21"/>
      <c r="F1417" s="24"/>
    </row>
    <row r="1418" spans="1:6" x14ac:dyDescent="0.25">
      <c r="A1418" s="18"/>
      <c r="B1418" s="25"/>
      <c r="C1418" s="20"/>
      <c r="D1418" s="20"/>
      <c r="E1418" s="21"/>
      <c r="F1418" s="24"/>
    </row>
    <row r="1419" spans="1:6" x14ac:dyDescent="0.25">
      <c r="A1419" s="18"/>
      <c r="B1419" s="25"/>
      <c r="C1419" s="20"/>
      <c r="D1419" s="20"/>
      <c r="E1419" s="21"/>
      <c r="F1419" s="24"/>
    </row>
    <row r="1420" spans="1:6" x14ac:dyDescent="0.25">
      <c r="A1420" s="18"/>
      <c r="B1420" s="25"/>
      <c r="C1420" s="20"/>
      <c r="D1420" s="20"/>
      <c r="E1420" s="21"/>
      <c r="F1420" s="24"/>
    </row>
    <row r="1421" spans="1:6" x14ac:dyDescent="0.25">
      <c r="A1421" s="18"/>
      <c r="B1421" s="25"/>
      <c r="C1421" s="20"/>
      <c r="D1421" s="20"/>
      <c r="E1421" s="21"/>
      <c r="F1421" s="24"/>
    </row>
    <row r="1422" spans="1:6" x14ac:dyDescent="0.25">
      <c r="A1422" s="18"/>
      <c r="B1422" s="132"/>
      <c r="C1422" s="20"/>
      <c r="D1422" s="20"/>
      <c r="E1422" s="21"/>
      <c r="F1422" s="24"/>
    </row>
    <row r="1423" spans="1:6" x14ac:dyDescent="0.25">
      <c r="A1423" s="18"/>
      <c r="B1423" s="44"/>
      <c r="C1423" s="20"/>
      <c r="D1423" s="20"/>
      <c r="E1423" s="21"/>
      <c r="F1423" s="24"/>
    </row>
    <row r="1424" spans="1:6" x14ac:dyDescent="0.25">
      <c r="A1424" s="18"/>
      <c r="B1424" s="44"/>
      <c r="C1424" s="20"/>
      <c r="D1424" s="20"/>
      <c r="E1424" s="21"/>
      <c r="F1424" s="24"/>
    </row>
    <row r="1425" spans="1:6" x14ac:dyDescent="0.25">
      <c r="A1425" s="18"/>
      <c r="B1425" s="44"/>
      <c r="C1425" s="20"/>
      <c r="D1425" s="20"/>
      <c r="E1425" s="21"/>
      <c r="F1425" s="24"/>
    </row>
    <row r="1426" spans="1:6" x14ac:dyDescent="0.25">
      <c r="A1426" s="18"/>
      <c r="B1426" s="44"/>
      <c r="C1426" s="20"/>
      <c r="D1426" s="20"/>
      <c r="E1426" s="21"/>
      <c r="F1426" s="24"/>
    </row>
    <row r="1427" spans="1:6" x14ac:dyDescent="0.25">
      <c r="A1427" s="18"/>
      <c r="B1427" s="25"/>
      <c r="C1427" s="20"/>
      <c r="D1427" s="20"/>
      <c r="E1427" s="21"/>
      <c r="F1427" s="24"/>
    </row>
    <row r="1428" spans="1:6" x14ac:dyDescent="0.25">
      <c r="A1428" s="18"/>
      <c r="B1428" s="25"/>
      <c r="C1428" s="20"/>
      <c r="D1428" s="20"/>
      <c r="E1428" s="21"/>
      <c r="F1428" s="24"/>
    </row>
    <row r="1429" spans="1:6" x14ac:dyDescent="0.25">
      <c r="A1429" s="18"/>
      <c r="B1429" s="25"/>
      <c r="C1429" s="20"/>
      <c r="D1429" s="20"/>
      <c r="E1429" s="21"/>
      <c r="F1429" s="24"/>
    </row>
    <row r="1430" spans="1:6" x14ac:dyDescent="0.25">
      <c r="A1430" s="18"/>
      <c r="B1430" s="25"/>
      <c r="C1430" s="20"/>
      <c r="D1430" s="20"/>
      <c r="E1430" s="21"/>
      <c r="F1430" s="24"/>
    </row>
    <row r="1431" spans="1:6" x14ac:dyDescent="0.25">
      <c r="A1431" s="18"/>
      <c r="B1431" s="25"/>
      <c r="C1431" s="20"/>
      <c r="D1431" s="20"/>
      <c r="E1431" s="21"/>
      <c r="F1431" s="24"/>
    </row>
    <row r="1432" spans="1:6" x14ac:dyDescent="0.25">
      <c r="A1432" s="18"/>
      <c r="B1432" s="25"/>
      <c r="C1432" s="20"/>
      <c r="D1432" s="20"/>
      <c r="E1432" s="21"/>
      <c r="F1432" s="24"/>
    </row>
    <row r="1433" spans="1:6" x14ac:dyDescent="0.25">
      <c r="A1433" s="18"/>
      <c r="B1433" s="25"/>
      <c r="C1433" s="20"/>
      <c r="D1433" s="20"/>
      <c r="E1433" s="21"/>
      <c r="F1433" s="24"/>
    </row>
    <row r="1434" spans="1:6" x14ac:dyDescent="0.25">
      <c r="A1434" s="18"/>
      <c r="B1434" s="25"/>
      <c r="C1434" s="20"/>
      <c r="D1434" s="20"/>
      <c r="E1434" s="21"/>
      <c r="F1434" s="24"/>
    </row>
    <row r="1435" spans="1:6" x14ac:dyDescent="0.25">
      <c r="A1435" s="18"/>
      <c r="B1435" s="25"/>
      <c r="C1435" s="20"/>
      <c r="D1435" s="20"/>
      <c r="E1435" s="21"/>
      <c r="F1435" s="24"/>
    </row>
    <row r="1436" spans="1:6" x14ac:dyDescent="0.25">
      <c r="A1436" s="18"/>
      <c r="B1436" s="25"/>
      <c r="C1436" s="20"/>
      <c r="D1436" s="20"/>
      <c r="E1436" s="21"/>
      <c r="F1436" s="24"/>
    </row>
    <row r="1437" spans="1:6" x14ac:dyDescent="0.25">
      <c r="A1437" s="18"/>
      <c r="B1437" s="25"/>
      <c r="C1437" s="20"/>
      <c r="D1437" s="20"/>
      <c r="E1437" s="21"/>
      <c r="F1437" s="24"/>
    </row>
    <row r="1438" spans="1:6" x14ac:dyDescent="0.25">
      <c r="A1438" s="18"/>
      <c r="B1438" s="132"/>
      <c r="C1438" s="20"/>
      <c r="D1438" s="20"/>
      <c r="E1438" s="21"/>
      <c r="F1438" s="24"/>
    </row>
    <row r="1439" spans="1:6" ht="26.25" thickBot="1" x14ac:dyDescent="0.3">
      <c r="A1439" s="100"/>
      <c r="B1439" s="101" t="s">
        <v>289</v>
      </c>
      <c r="C1439" s="102"/>
      <c r="D1439" s="102"/>
      <c r="E1439" s="102"/>
      <c r="F1439" s="104">
        <f>SUM(F1398:F1408)</f>
        <v>1240225</v>
      </c>
    </row>
    <row r="1440" spans="1:6" x14ac:dyDescent="0.25">
      <c r="A1440" s="235" t="s">
        <v>0</v>
      </c>
      <c r="B1440" s="236" t="s">
        <v>1</v>
      </c>
      <c r="C1440" s="237" t="s">
        <v>2</v>
      </c>
      <c r="D1440" s="237" t="s">
        <v>3</v>
      </c>
      <c r="E1440" s="238" t="s">
        <v>4</v>
      </c>
      <c r="F1440" s="239" t="s">
        <v>5</v>
      </c>
    </row>
    <row r="1441" spans="1:6" x14ac:dyDescent="0.25">
      <c r="A1441" s="18"/>
      <c r="B1441" s="44"/>
      <c r="C1441" s="20"/>
      <c r="D1441" s="20"/>
      <c r="E1441" s="21"/>
      <c r="F1441" s="24"/>
    </row>
    <row r="1442" spans="1:6" x14ac:dyDescent="0.25">
      <c r="A1442" s="18"/>
      <c r="B1442" s="45" t="s">
        <v>60</v>
      </c>
      <c r="C1442" s="20"/>
      <c r="D1442" s="20"/>
      <c r="E1442" s="21"/>
      <c r="F1442" s="24"/>
    </row>
    <row r="1443" spans="1:6" x14ac:dyDescent="0.25">
      <c r="A1443" s="18"/>
      <c r="B1443" s="44"/>
      <c r="C1443" s="20"/>
      <c r="D1443" s="20"/>
      <c r="E1443" s="21"/>
      <c r="F1443" s="24"/>
    </row>
    <row r="1444" spans="1:6" x14ac:dyDescent="0.25">
      <c r="A1444" s="18"/>
      <c r="B1444" s="45" t="s">
        <v>154</v>
      </c>
      <c r="C1444" s="20"/>
      <c r="D1444" s="20"/>
      <c r="E1444" s="21"/>
      <c r="F1444" s="24"/>
    </row>
    <row r="1445" spans="1:6" x14ac:dyDescent="0.25">
      <c r="A1445" s="18"/>
      <c r="B1445" s="45"/>
      <c r="C1445" s="20"/>
      <c r="D1445" s="20"/>
      <c r="E1445" s="21"/>
      <c r="F1445" s="24"/>
    </row>
    <row r="1446" spans="1:6" ht="115.5" x14ac:dyDescent="0.25">
      <c r="A1446" s="18"/>
      <c r="B1446" s="19" t="s">
        <v>65</v>
      </c>
      <c r="C1446" s="20"/>
      <c r="D1446" s="20"/>
      <c r="E1446" s="21"/>
      <c r="F1446" s="24"/>
    </row>
    <row r="1447" spans="1:6" x14ac:dyDescent="0.25">
      <c r="A1447" s="18"/>
      <c r="B1447" s="44"/>
      <c r="C1447" s="20"/>
      <c r="D1447" s="20"/>
      <c r="E1447" s="21"/>
      <c r="F1447" s="24"/>
    </row>
    <row r="1448" spans="1:6" x14ac:dyDescent="0.25">
      <c r="A1448" s="18" t="s">
        <v>7</v>
      </c>
      <c r="B1448" s="25" t="s">
        <v>290</v>
      </c>
      <c r="C1448" s="20">
        <v>2</v>
      </c>
      <c r="D1448" s="20" t="s">
        <v>8</v>
      </c>
      <c r="E1448" s="21">
        <v>1353</v>
      </c>
      <c r="F1448" s="24">
        <f>C1448*E1448</f>
        <v>2706</v>
      </c>
    </row>
    <row r="1449" spans="1:6" x14ac:dyDescent="0.25">
      <c r="A1449" s="18"/>
      <c r="B1449" s="23"/>
      <c r="C1449" s="20"/>
      <c r="D1449" s="20"/>
      <c r="E1449" s="21"/>
      <c r="F1449" s="24"/>
    </row>
    <row r="1450" spans="1:6" x14ac:dyDescent="0.25">
      <c r="A1450" s="18" t="s">
        <v>9</v>
      </c>
      <c r="B1450" s="25" t="s">
        <v>291</v>
      </c>
      <c r="C1450" s="20">
        <v>4</v>
      </c>
      <c r="D1450" s="20" t="s">
        <v>8</v>
      </c>
      <c r="E1450" s="21">
        <v>1353</v>
      </c>
      <c r="F1450" s="24">
        <f>C1450*E1450</f>
        <v>5412</v>
      </c>
    </row>
    <row r="1451" spans="1:6" x14ac:dyDescent="0.25">
      <c r="A1451" s="18"/>
      <c r="B1451" s="25"/>
      <c r="C1451" s="20"/>
      <c r="D1451" s="20"/>
      <c r="E1451" s="21"/>
      <c r="F1451" s="24"/>
    </row>
    <row r="1452" spans="1:6" ht="26.25" x14ac:dyDescent="0.25">
      <c r="A1452" s="18" t="s">
        <v>10</v>
      </c>
      <c r="B1452" s="25" t="s">
        <v>292</v>
      </c>
      <c r="C1452" s="20">
        <v>16</v>
      </c>
      <c r="D1452" s="20" t="s">
        <v>68</v>
      </c>
      <c r="E1452" s="21">
        <v>205</v>
      </c>
      <c r="F1452" s="24">
        <f>C1452*E1452</f>
        <v>3280</v>
      </c>
    </row>
    <row r="1453" spans="1:6" x14ac:dyDescent="0.25">
      <c r="A1453" s="18"/>
      <c r="B1453" s="25"/>
      <c r="C1453" s="20"/>
      <c r="D1453" s="20"/>
      <c r="E1453" s="21"/>
      <c r="F1453" s="24"/>
    </row>
    <row r="1454" spans="1:6" x14ac:dyDescent="0.25">
      <c r="A1454" s="18"/>
      <c r="B1454" s="23" t="s">
        <v>159</v>
      </c>
      <c r="C1454" s="20"/>
      <c r="D1454" s="20"/>
      <c r="E1454" s="21"/>
      <c r="F1454" s="24"/>
    </row>
    <row r="1455" spans="1:6" x14ac:dyDescent="0.25">
      <c r="A1455" s="18"/>
      <c r="B1455" s="23"/>
      <c r="C1455" s="20"/>
      <c r="D1455" s="20"/>
      <c r="E1455" s="21"/>
      <c r="F1455" s="24"/>
    </row>
    <row r="1456" spans="1:6" x14ac:dyDescent="0.25">
      <c r="A1456" s="18"/>
      <c r="B1456" s="23" t="s">
        <v>116</v>
      </c>
      <c r="C1456" s="20"/>
      <c r="D1456" s="20"/>
      <c r="E1456" s="21"/>
      <c r="F1456" s="24"/>
    </row>
    <row r="1457" spans="1:6" x14ac:dyDescent="0.25">
      <c r="A1457" s="18"/>
      <c r="B1457" s="119"/>
      <c r="C1457" s="20"/>
      <c r="D1457" s="20"/>
      <c r="E1457" s="21"/>
      <c r="F1457" s="24"/>
    </row>
    <row r="1458" spans="1:6" ht="26.25" x14ac:dyDescent="0.25">
      <c r="A1458" s="18"/>
      <c r="B1458" s="23" t="s">
        <v>119</v>
      </c>
      <c r="C1458" s="20"/>
      <c r="D1458" s="20"/>
      <c r="E1458" s="21"/>
      <c r="F1458" s="24"/>
    </row>
    <row r="1459" spans="1:6" x14ac:dyDescent="0.25">
      <c r="A1459" s="18"/>
      <c r="B1459" s="190"/>
      <c r="C1459" s="20"/>
      <c r="D1459" s="20"/>
      <c r="E1459" s="21"/>
      <c r="F1459" s="24"/>
    </row>
    <row r="1460" spans="1:6" x14ac:dyDescent="0.25">
      <c r="A1460" s="18" t="s">
        <v>11</v>
      </c>
      <c r="B1460" s="130" t="s">
        <v>293</v>
      </c>
      <c r="C1460" s="20">
        <v>2</v>
      </c>
      <c r="D1460" s="20" t="s">
        <v>8</v>
      </c>
      <c r="E1460" s="21">
        <v>1800</v>
      </c>
      <c r="F1460" s="24">
        <f>C1460*E1460</f>
        <v>3600</v>
      </c>
    </row>
    <row r="1461" spans="1:6" x14ac:dyDescent="0.25">
      <c r="A1461" s="18"/>
      <c r="B1461" s="174"/>
      <c r="C1461" s="20"/>
      <c r="D1461" s="20"/>
      <c r="E1461" s="21"/>
      <c r="F1461" s="24"/>
    </row>
    <row r="1462" spans="1:6" x14ac:dyDescent="0.25">
      <c r="A1462" s="18" t="s">
        <v>12</v>
      </c>
      <c r="B1462" s="132" t="s">
        <v>294</v>
      </c>
      <c r="C1462" s="20">
        <v>2</v>
      </c>
      <c r="D1462" s="20" t="s">
        <v>25</v>
      </c>
      <c r="E1462" s="21">
        <v>12000</v>
      </c>
      <c r="F1462" s="24">
        <f>C1462*E1462</f>
        <v>24000</v>
      </c>
    </row>
    <row r="1463" spans="1:6" x14ac:dyDescent="0.25">
      <c r="A1463" s="18"/>
      <c r="B1463" s="44"/>
      <c r="C1463" s="20"/>
      <c r="D1463" s="20"/>
      <c r="E1463" s="21"/>
      <c r="F1463" s="24"/>
    </row>
    <row r="1464" spans="1:6" x14ac:dyDescent="0.25">
      <c r="A1464" s="18"/>
      <c r="B1464" s="23" t="s">
        <v>48</v>
      </c>
      <c r="C1464" s="20"/>
      <c r="D1464" s="20"/>
      <c r="E1464" s="21"/>
      <c r="F1464" s="24"/>
    </row>
    <row r="1465" spans="1:6" x14ac:dyDescent="0.25">
      <c r="A1465" s="18"/>
      <c r="B1465" s="23"/>
      <c r="C1465" s="20"/>
      <c r="D1465" s="20"/>
      <c r="E1465" s="21"/>
      <c r="F1465" s="24"/>
    </row>
    <row r="1466" spans="1:6" ht="77.25" x14ac:dyDescent="0.25">
      <c r="A1466" s="18"/>
      <c r="B1466" s="19" t="s">
        <v>163</v>
      </c>
      <c r="C1466" s="20"/>
      <c r="D1466" s="20"/>
      <c r="E1466" s="21"/>
      <c r="F1466" s="24"/>
    </row>
    <row r="1467" spans="1:6" x14ac:dyDescent="0.25">
      <c r="A1467" s="18"/>
      <c r="B1467" s="206"/>
      <c r="C1467" s="20"/>
      <c r="D1467" s="20"/>
      <c r="E1467" s="21"/>
      <c r="F1467" s="24"/>
    </row>
    <row r="1468" spans="1:6" x14ac:dyDescent="0.25">
      <c r="A1468" s="18" t="s">
        <v>27</v>
      </c>
      <c r="B1468" s="206" t="s">
        <v>295</v>
      </c>
      <c r="C1468" s="20">
        <v>47</v>
      </c>
      <c r="D1468" s="20" t="s">
        <v>51</v>
      </c>
      <c r="E1468" s="21">
        <v>180</v>
      </c>
      <c r="F1468" s="24">
        <f>E1468*C1468</f>
        <v>8460</v>
      </c>
    </row>
    <row r="1469" spans="1:6" x14ac:dyDescent="0.25">
      <c r="A1469" s="18"/>
      <c r="B1469" s="206"/>
      <c r="C1469" s="20"/>
      <c r="D1469" s="20"/>
      <c r="E1469" s="21"/>
      <c r="F1469" s="24"/>
    </row>
    <row r="1470" spans="1:6" x14ac:dyDescent="0.25">
      <c r="A1470" s="18" t="s">
        <v>61</v>
      </c>
      <c r="B1470" s="206" t="s">
        <v>296</v>
      </c>
      <c r="C1470" s="20">
        <v>80</v>
      </c>
      <c r="D1470" s="20" t="str">
        <f>D1468</f>
        <v>KG</v>
      </c>
      <c r="E1470" s="21">
        <v>180</v>
      </c>
      <c r="F1470" s="24">
        <f>E1470*C1470</f>
        <v>14400</v>
      </c>
    </row>
    <row r="1471" spans="1:6" x14ac:dyDescent="0.25">
      <c r="A1471" s="18"/>
      <c r="B1471" s="206"/>
      <c r="C1471" s="20"/>
      <c r="D1471" s="20"/>
      <c r="E1471" s="21"/>
      <c r="F1471" s="24"/>
    </row>
    <row r="1472" spans="1:6" x14ac:dyDescent="0.25">
      <c r="A1472" s="18"/>
      <c r="B1472" s="131"/>
      <c r="C1472" s="20"/>
      <c r="D1472" s="20"/>
      <c r="E1472" s="21"/>
      <c r="F1472" s="24"/>
    </row>
    <row r="1473" spans="1:7" ht="15.75" thickBot="1" x14ac:dyDescent="0.3">
      <c r="A1473" s="100"/>
      <c r="B1473" s="101" t="s">
        <v>56</v>
      </c>
      <c r="C1473" s="102"/>
      <c r="D1473" s="102"/>
      <c r="E1473" s="103"/>
      <c r="F1473" s="104">
        <f>SUM(F1448:F1470)</f>
        <v>61858</v>
      </c>
    </row>
    <row r="1474" spans="1:7" x14ac:dyDescent="0.25">
      <c r="A1474" s="235" t="s">
        <v>0</v>
      </c>
      <c r="B1474" s="236" t="s">
        <v>1</v>
      </c>
      <c r="C1474" s="237" t="s">
        <v>2</v>
      </c>
      <c r="D1474" s="237" t="s">
        <v>3</v>
      </c>
      <c r="E1474" s="238" t="s">
        <v>4</v>
      </c>
      <c r="F1474" s="239" t="s">
        <v>5</v>
      </c>
    </row>
    <row r="1475" spans="1:7" x14ac:dyDescent="0.25">
      <c r="A1475" s="18"/>
      <c r="B1475" s="44"/>
      <c r="C1475" s="20"/>
      <c r="D1475" s="20"/>
      <c r="E1475" s="21"/>
      <c r="F1475" s="24"/>
    </row>
    <row r="1476" spans="1:7" x14ac:dyDescent="0.25">
      <c r="A1476" s="18"/>
      <c r="B1476" s="23" t="s">
        <v>297</v>
      </c>
      <c r="C1476" s="20"/>
      <c r="D1476" s="20"/>
      <c r="E1476" s="21"/>
      <c r="F1476" s="24"/>
    </row>
    <row r="1477" spans="1:7" x14ac:dyDescent="0.25">
      <c r="A1477" s="18"/>
      <c r="B1477" s="44"/>
      <c r="C1477" s="20"/>
      <c r="D1477" s="20"/>
      <c r="E1477" s="21"/>
      <c r="F1477" s="24"/>
    </row>
    <row r="1478" spans="1:7" ht="26.25" x14ac:dyDescent="0.25">
      <c r="A1478" s="18"/>
      <c r="B1478" s="19" t="s">
        <v>298</v>
      </c>
      <c r="C1478" s="20"/>
      <c r="D1478" s="20"/>
      <c r="E1478" s="21"/>
      <c r="F1478" s="24"/>
    </row>
    <row r="1479" spans="1:7" x14ac:dyDescent="0.25">
      <c r="A1479" s="18"/>
      <c r="B1479" s="44"/>
      <c r="C1479" s="20"/>
      <c r="D1479" s="20"/>
      <c r="E1479" s="21"/>
      <c r="F1479" s="24"/>
    </row>
    <row r="1480" spans="1:7" ht="26.25" x14ac:dyDescent="0.25">
      <c r="A1480" s="18" t="s">
        <v>7</v>
      </c>
      <c r="B1480" s="130" t="s">
        <v>299</v>
      </c>
      <c r="C1480" s="20">
        <v>4</v>
      </c>
      <c r="D1480" s="20" t="s">
        <v>8</v>
      </c>
      <c r="E1480" s="21">
        <v>450</v>
      </c>
      <c r="F1480" s="24">
        <f>C1480*E1480</f>
        <v>1800</v>
      </c>
    </row>
    <row r="1481" spans="1:7" x14ac:dyDescent="0.25">
      <c r="A1481" s="18"/>
      <c r="B1481" s="174"/>
      <c r="C1481" s="20"/>
      <c r="D1481" s="20"/>
      <c r="E1481" s="21"/>
      <c r="F1481" s="24"/>
    </row>
    <row r="1482" spans="1:7" x14ac:dyDescent="0.25">
      <c r="A1482" s="18" t="s">
        <v>9</v>
      </c>
      <c r="B1482" s="132" t="s">
        <v>300</v>
      </c>
      <c r="C1482" s="20">
        <v>2</v>
      </c>
      <c r="D1482" s="20" t="s">
        <v>8</v>
      </c>
      <c r="E1482" s="21">
        <v>450</v>
      </c>
      <c r="F1482" s="24">
        <f>C1482*E1482</f>
        <v>900</v>
      </c>
    </row>
    <row r="1483" spans="1:7" x14ac:dyDescent="0.25">
      <c r="A1483" s="18"/>
      <c r="B1483" s="44"/>
      <c r="C1483" s="20"/>
      <c r="D1483" s="20"/>
      <c r="E1483" s="21"/>
      <c r="F1483" s="24"/>
    </row>
    <row r="1484" spans="1:7" s="99" customFormat="1" ht="12.75" x14ac:dyDescent="0.25">
      <c r="A1484" s="18" t="s">
        <v>10</v>
      </c>
      <c r="B1484" s="44" t="s">
        <v>301</v>
      </c>
      <c r="C1484" s="20">
        <v>2</v>
      </c>
      <c r="D1484" s="20" t="s">
        <v>8</v>
      </c>
      <c r="E1484" s="21">
        <v>450</v>
      </c>
      <c r="F1484" s="24">
        <f>C1484*E1484</f>
        <v>900</v>
      </c>
      <c r="G1484" s="98"/>
    </row>
    <row r="1485" spans="1:7" s="99" customFormat="1" ht="12.75" x14ac:dyDescent="0.25">
      <c r="A1485" s="18"/>
      <c r="B1485" s="44"/>
      <c r="C1485" s="20"/>
      <c r="D1485" s="20"/>
      <c r="E1485" s="21"/>
      <c r="F1485" s="24"/>
      <c r="G1485" s="98"/>
    </row>
    <row r="1486" spans="1:7" s="99" customFormat="1" ht="102" x14ac:dyDescent="0.2">
      <c r="A1486" s="18"/>
      <c r="B1486" s="19" t="s">
        <v>302</v>
      </c>
      <c r="C1486" s="20"/>
      <c r="D1486" s="20"/>
      <c r="E1486" s="21"/>
      <c r="F1486" s="24"/>
      <c r="G1486" s="98"/>
    </row>
    <row r="1487" spans="1:7" s="99" customFormat="1" ht="12.75" x14ac:dyDescent="0.2">
      <c r="A1487" s="18"/>
      <c r="B1487" s="174"/>
      <c r="C1487" s="20"/>
      <c r="D1487" s="20"/>
      <c r="E1487" s="21"/>
      <c r="F1487" s="24"/>
      <c r="G1487" s="98"/>
    </row>
    <row r="1488" spans="1:7" s="99" customFormat="1" ht="12.75" x14ac:dyDescent="0.2">
      <c r="A1488" s="18" t="s">
        <v>11</v>
      </c>
      <c r="B1488" s="132" t="s">
        <v>303</v>
      </c>
      <c r="C1488" s="20">
        <f>C1480</f>
        <v>4</v>
      </c>
      <c r="D1488" s="20" t="s">
        <v>8</v>
      </c>
      <c r="E1488" s="21">
        <v>1800</v>
      </c>
      <c r="F1488" s="24">
        <f>C1488*E1488</f>
        <v>7200</v>
      </c>
      <c r="G1488" s="98"/>
    </row>
    <row r="1489" spans="1:7" s="99" customFormat="1" ht="12.75" x14ac:dyDescent="0.25">
      <c r="A1489" s="18"/>
      <c r="B1489" s="44"/>
      <c r="C1489" s="20"/>
      <c r="D1489" s="20"/>
      <c r="E1489" s="21"/>
      <c r="F1489" s="24"/>
      <c r="G1489" s="98"/>
    </row>
    <row r="1490" spans="1:7" s="99" customFormat="1" ht="12.75" x14ac:dyDescent="0.2">
      <c r="A1490" s="18" t="s">
        <v>12</v>
      </c>
      <c r="B1490" s="25" t="s">
        <v>304</v>
      </c>
      <c r="C1490" s="20">
        <f>C1482</f>
        <v>2</v>
      </c>
      <c r="D1490" s="20" t="s">
        <v>8</v>
      </c>
      <c r="E1490" s="21">
        <v>1800</v>
      </c>
      <c r="F1490" s="24">
        <f>C1490*E1490</f>
        <v>3600</v>
      </c>
      <c r="G1490" s="98"/>
    </row>
    <row r="1491" spans="1:7" s="99" customFormat="1" ht="12.75" x14ac:dyDescent="0.2">
      <c r="A1491" s="18"/>
      <c r="B1491" s="25"/>
      <c r="C1491" s="20"/>
      <c r="D1491" s="20"/>
      <c r="E1491" s="21"/>
      <c r="F1491" s="24"/>
      <c r="G1491" s="98"/>
    </row>
    <row r="1492" spans="1:7" s="99" customFormat="1" ht="12.75" x14ac:dyDescent="0.2">
      <c r="A1492" s="18" t="s">
        <v>27</v>
      </c>
      <c r="B1492" s="130" t="s">
        <v>305</v>
      </c>
      <c r="C1492" s="20">
        <f>C1484</f>
        <v>2</v>
      </c>
      <c r="D1492" s="20" t="s">
        <v>8</v>
      </c>
      <c r="E1492" s="21">
        <v>1800</v>
      </c>
      <c r="F1492" s="24">
        <f>C1492*E1492</f>
        <v>3600</v>
      </c>
      <c r="G1492" s="98"/>
    </row>
    <row r="1493" spans="1:7" s="99" customFormat="1" ht="12.75" x14ac:dyDescent="0.25">
      <c r="A1493" s="18"/>
      <c r="B1493" s="44"/>
      <c r="C1493" s="20"/>
      <c r="D1493" s="20"/>
      <c r="E1493" s="21"/>
      <c r="F1493" s="24"/>
      <c r="G1493" s="98"/>
    </row>
    <row r="1494" spans="1:7" s="99" customFormat="1" ht="51" x14ac:dyDescent="0.2">
      <c r="A1494" s="18"/>
      <c r="B1494" s="19" t="s">
        <v>306</v>
      </c>
      <c r="C1494" s="20"/>
      <c r="D1494" s="20"/>
      <c r="E1494" s="21"/>
      <c r="F1494" s="24"/>
      <c r="G1494" s="98"/>
    </row>
    <row r="1495" spans="1:7" x14ac:dyDescent="0.25">
      <c r="A1495" s="18"/>
      <c r="B1495" s="174"/>
      <c r="C1495" s="20"/>
      <c r="D1495" s="20"/>
      <c r="E1495" s="21"/>
      <c r="F1495" s="24"/>
    </row>
    <row r="1496" spans="1:7" x14ac:dyDescent="0.25">
      <c r="A1496" s="18" t="s">
        <v>61</v>
      </c>
      <c r="B1496" s="25" t="s">
        <v>307</v>
      </c>
      <c r="C1496" s="20">
        <v>8</v>
      </c>
      <c r="D1496" s="20" t="s">
        <v>8</v>
      </c>
      <c r="E1496" s="21">
        <v>450</v>
      </c>
      <c r="F1496" s="24">
        <f>C1496*E1496</f>
        <v>3600</v>
      </c>
    </row>
    <row r="1497" spans="1:7" x14ac:dyDescent="0.25">
      <c r="A1497" s="18"/>
      <c r="B1497" s="174"/>
      <c r="C1497" s="20"/>
      <c r="D1497" s="20"/>
      <c r="E1497" s="21"/>
      <c r="F1497" s="24"/>
    </row>
    <row r="1498" spans="1:7" x14ac:dyDescent="0.25">
      <c r="A1498" s="18" t="s">
        <v>64</v>
      </c>
      <c r="B1498" s="132" t="s">
        <v>308</v>
      </c>
      <c r="C1498" s="20">
        <v>18</v>
      </c>
      <c r="D1498" s="20" t="s">
        <v>8</v>
      </c>
      <c r="E1498" s="21">
        <v>450</v>
      </c>
      <c r="F1498" s="24">
        <f>C1498*E1498</f>
        <v>8100</v>
      </c>
    </row>
    <row r="1499" spans="1:7" x14ac:dyDescent="0.25">
      <c r="A1499" s="18"/>
      <c r="B1499" s="132"/>
      <c r="C1499" s="20"/>
      <c r="D1499" s="20"/>
      <c r="E1499" s="21"/>
      <c r="F1499" s="24"/>
    </row>
    <row r="1500" spans="1:7" ht="39" x14ac:dyDescent="0.25">
      <c r="A1500" s="18"/>
      <c r="B1500" s="19" t="s">
        <v>242</v>
      </c>
      <c r="C1500" s="20"/>
      <c r="D1500" s="20"/>
      <c r="E1500" s="21"/>
      <c r="F1500" s="24"/>
    </row>
    <row r="1501" spans="1:7" x14ac:dyDescent="0.25">
      <c r="A1501" s="18"/>
      <c r="B1501" s="25"/>
      <c r="C1501" s="20"/>
      <c r="D1501" s="20"/>
      <c r="E1501" s="21"/>
      <c r="F1501" s="24"/>
    </row>
    <row r="1502" spans="1:7" x14ac:dyDescent="0.25">
      <c r="A1502" s="18" t="s">
        <v>121</v>
      </c>
      <c r="B1502" s="25" t="s">
        <v>307</v>
      </c>
      <c r="C1502" s="20">
        <v>2</v>
      </c>
      <c r="D1502" s="20" t="s">
        <v>8</v>
      </c>
      <c r="E1502" s="21">
        <v>450</v>
      </c>
      <c r="F1502" s="24">
        <f>C1502*E1502</f>
        <v>900</v>
      </c>
    </row>
    <row r="1503" spans="1:7" x14ac:dyDescent="0.25">
      <c r="A1503" s="18"/>
      <c r="B1503" s="174"/>
      <c r="C1503" s="20"/>
      <c r="D1503" s="20"/>
      <c r="E1503" s="21"/>
      <c r="F1503" s="24"/>
    </row>
    <row r="1504" spans="1:7" x14ac:dyDescent="0.25">
      <c r="A1504" s="18" t="s">
        <v>123</v>
      </c>
      <c r="B1504" s="132" t="s">
        <v>308</v>
      </c>
      <c r="C1504" s="20">
        <v>5</v>
      </c>
      <c r="D1504" s="20" t="s">
        <v>8</v>
      </c>
      <c r="E1504" s="21">
        <v>450</v>
      </c>
      <c r="F1504" s="24">
        <f>C1504*E1504</f>
        <v>2250</v>
      </c>
    </row>
    <row r="1505" spans="1:6" x14ac:dyDescent="0.25">
      <c r="A1505" s="18"/>
      <c r="B1505" s="119"/>
      <c r="C1505" s="20"/>
      <c r="D1505" s="20"/>
      <c r="E1505" s="21"/>
      <c r="F1505" s="24"/>
    </row>
    <row r="1506" spans="1:6" x14ac:dyDescent="0.25">
      <c r="A1506" s="18"/>
      <c r="B1506" s="172"/>
      <c r="C1506" s="20"/>
      <c r="D1506" s="20"/>
      <c r="E1506" s="21"/>
      <c r="F1506" s="24"/>
    </row>
    <row r="1507" spans="1:6" x14ac:dyDescent="0.25">
      <c r="A1507" s="18"/>
      <c r="B1507" s="234"/>
      <c r="C1507" s="20"/>
      <c r="D1507" s="20"/>
      <c r="E1507" s="21"/>
      <c r="F1507" s="24"/>
    </row>
    <row r="1508" spans="1:6" x14ac:dyDescent="0.25">
      <c r="A1508" s="18"/>
      <c r="B1508" s="44"/>
      <c r="C1508" s="20"/>
      <c r="D1508" s="20"/>
      <c r="E1508" s="21"/>
      <c r="F1508" s="24"/>
    </row>
    <row r="1509" spans="1:6" x14ac:dyDescent="0.25">
      <c r="A1509" s="18"/>
      <c r="B1509" s="44"/>
      <c r="C1509" s="20"/>
      <c r="D1509" s="20"/>
      <c r="E1509" s="21"/>
      <c r="F1509" s="24"/>
    </row>
    <row r="1510" spans="1:6" ht="15.75" thickBot="1" x14ac:dyDescent="0.3">
      <c r="A1510" s="175"/>
      <c r="B1510" s="101" t="s">
        <v>56</v>
      </c>
      <c r="C1510" s="176"/>
      <c r="D1510" s="176"/>
      <c r="E1510" s="177"/>
      <c r="F1510" s="104">
        <f>SUM(F1478:F1504)</f>
        <v>32850</v>
      </c>
    </row>
    <row r="1511" spans="1:6" x14ac:dyDescent="0.25">
      <c r="A1511" s="235" t="s">
        <v>0</v>
      </c>
      <c r="B1511" s="236" t="s">
        <v>1</v>
      </c>
      <c r="C1511" s="237" t="s">
        <v>2</v>
      </c>
      <c r="D1511" s="237" t="s">
        <v>3</v>
      </c>
      <c r="E1511" s="238" t="s">
        <v>4</v>
      </c>
      <c r="F1511" s="239" t="s">
        <v>5</v>
      </c>
    </row>
    <row r="1512" spans="1:6" x14ac:dyDescent="0.25">
      <c r="A1512" s="18"/>
      <c r="B1512" s="158"/>
      <c r="C1512" s="20"/>
      <c r="D1512" s="20"/>
      <c r="E1512" s="21"/>
      <c r="F1512" s="24"/>
    </row>
    <row r="1513" spans="1:6" x14ac:dyDescent="0.25">
      <c r="A1513" s="18"/>
      <c r="B1513" s="193" t="s">
        <v>309</v>
      </c>
      <c r="C1513" s="20"/>
      <c r="D1513" s="20"/>
      <c r="E1513" s="21"/>
      <c r="F1513" s="24"/>
    </row>
    <row r="1514" spans="1:6" x14ac:dyDescent="0.25">
      <c r="A1514" s="18"/>
      <c r="B1514" s="25"/>
      <c r="C1514" s="20"/>
      <c r="D1514" s="20"/>
      <c r="E1514" s="21"/>
      <c r="F1514" s="24"/>
    </row>
    <row r="1515" spans="1:6" ht="115.5" x14ac:dyDescent="0.25">
      <c r="A1515" s="18" t="s">
        <v>7</v>
      </c>
      <c r="B1515" s="121" t="s">
        <v>310</v>
      </c>
      <c r="C1515" s="20">
        <v>4</v>
      </c>
      <c r="D1515" s="20" t="s">
        <v>68</v>
      </c>
      <c r="E1515" s="21">
        <v>4501</v>
      </c>
      <c r="F1515" s="24">
        <f>C1515*E1515</f>
        <v>18004</v>
      </c>
    </row>
    <row r="1516" spans="1:6" x14ac:dyDescent="0.25">
      <c r="A1516" s="18"/>
      <c r="B1516" s="44"/>
      <c r="C1516" s="20"/>
      <c r="D1516" s="20"/>
      <c r="E1516" s="21"/>
      <c r="F1516" s="24"/>
    </row>
    <row r="1517" spans="1:6" ht="15.75" thickBot="1" x14ac:dyDescent="0.3">
      <c r="A1517" s="100"/>
      <c r="B1517" s="101" t="s">
        <v>56</v>
      </c>
      <c r="C1517" s="102"/>
      <c r="D1517" s="102"/>
      <c r="E1517" s="103"/>
      <c r="F1517" s="104">
        <f>F1515</f>
        <v>18004</v>
      </c>
    </row>
    <row r="1518" spans="1:6" x14ac:dyDescent="0.25">
      <c r="A1518" s="18"/>
      <c r="B1518" s="44"/>
      <c r="C1518" s="20"/>
      <c r="D1518" s="20"/>
      <c r="E1518" s="21"/>
      <c r="F1518" s="24"/>
    </row>
    <row r="1519" spans="1:6" x14ac:dyDescent="0.25">
      <c r="A1519" s="18"/>
      <c r="B1519" s="158" t="s">
        <v>333</v>
      </c>
      <c r="C1519" s="20"/>
      <c r="D1519" s="20"/>
      <c r="E1519" s="21"/>
      <c r="F1519" s="159">
        <f>F1473</f>
        <v>61858</v>
      </c>
    </row>
    <row r="1520" spans="1:6" x14ac:dyDescent="0.25">
      <c r="A1520" s="18"/>
      <c r="B1520" s="44"/>
      <c r="C1520" s="20"/>
      <c r="D1520" s="20"/>
      <c r="E1520" s="21"/>
      <c r="F1520" s="159"/>
    </row>
    <row r="1521" spans="1:6" x14ac:dyDescent="0.25">
      <c r="A1521" s="18"/>
      <c r="B1521" s="158" t="s">
        <v>332</v>
      </c>
      <c r="C1521" s="20"/>
      <c r="D1521" s="20"/>
      <c r="E1521" s="21"/>
      <c r="F1521" s="159">
        <f>F1510</f>
        <v>32850</v>
      </c>
    </row>
    <row r="1522" spans="1:6" x14ac:dyDescent="0.25">
      <c r="A1522" s="18"/>
      <c r="B1522" s="44"/>
      <c r="C1522" s="20"/>
      <c r="D1522" s="20"/>
      <c r="E1522" s="21"/>
      <c r="F1522" s="159"/>
    </row>
    <row r="1523" spans="1:6" x14ac:dyDescent="0.25">
      <c r="A1523" s="18"/>
      <c r="B1523" s="158" t="s">
        <v>331</v>
      </c>
      <c r="C1523" s="20"/>
      <c r="D1523" s="20"/>
      <c r="E1523" s="21"/>
      <c r="F1523" s="159">
        <f>F1517</f>
        <v>18004</v>
      </c>
    </row>
    <row r="1524" spans="1:6" x14ac:dyDescent="0.25">
      <c r="A1524" s="18"/>
      <c r="B1524" s="44"/>
      <c r="C1524" s="20"/>
      <c r="D1524" s="20"/>
      <c r="E1524" s="21"/>
      <c r="F1524" s="24"/>
    </row>
    <row r="1525" spans="1:6" x14ac:dyDescent="0.25">
      <c r="A1525" s="18"/>
      <c r="B1525" s="25"/>
      <c r="C1525" s="20"/>
      <c r="D1525" s="20"/>
      <c r="E1525" s="21"/>
      <c r="F1525" s="24"/>
    </row>
    <row r="1526" spans="1:6" x14ac:dyDescent="0.25">
      <c r="A1526" s="18"/>
      <c r="B1526" s="132"/>
      <c r="C1526" s="20"/>
      <c r="D1526" s="20"/>
      <c r="E1526" s="21"/>
      <c r="F1526" s="24"/>
    </row>
    <row r="1527" spans="1:6" x14ac:dyDescent="0.25">
      <c r="A1527" s="18"/>
      <c r="B1527" s="132"/>
      <c r="C1527" s="20"/>
      <c r="D1527" s="20"/>
      <c r="E1527" s="21"/>
      <c r="F1527" s="24"/>
    </row>
    <row r="1528" spans="1:6" x14ac:dyDescent="0.25">
      <c r="A1528" s="18"/>
      <c r="B1528" s="44"/>
      <c r="C1528" s="20"/>
      <c r="D1528" s="20"/>
      <c r="E1528" s="21"/>
      <c r="F1528" s="24"/>
    </row>
    <row r="1529" spans="1:6" x14ac:dyDescent="0.25">
      <c r="A1529" s="18"/>
      <c r="B1529" s="121"/>
      <c r="C1529" s="20"/>
      <c r="D1529" s="20"/>
      <c r="E1529" s="21"/>
      <c r="F1529" s="24"/>
    </row>
    <row r="1530" spans="1:6" x14ac:dyDescent="0.25">
      <c r="A1530" s="18"/>
      <c r="B1530" s="158"/>
      <c r="C1530" s="20"/>
      <c r="D1530" s="20"/>
      <c r="E1530" s="21"/>
      <c r="F1530" s="24"/>
    </row>
    <row r="1531" spans="1:6" x14ac:dyDescent="0.25">
      <c r="A1531" s="18"/>
      <c r="B1531" s="25"/>
      <c r="C1531" s="20"/>
      <c r="D1531" s="20"/>
      <c r="E1531" s="21"/>
      <c r="F1531" s="24"/>
    </row>
    <row r="1532" spans="1:6" x14ac:dyDescent="0.25">
      <c r="A1532" s="18"/>
      <c r="B1532" s="158"/>
      <c r="C1532" s="20"/>
      <c r="D1532" s="20"/>
      <c r="E1532" s="21"/>
      <c r="F1532" s="24"/>
    </row>
    <row r="1533" spans="1:6" x14ac:dyDescent="0.25">
      <c r="A1533" s="18"/>
      <c r="B1533" s="132"/>
      <c r="C1533" s="20"/>
      <c r="D1533" s="20"/>
      <c r="E1533" s="21"/>
      <c r="F1533" s="24"/>
    </row>
    <row r="1534" spans="1:6" x14ac:dyDescent="0.25">
      <c r="A1534" s="18"/>
      <c r="B1534" s="158"/>
      <c r="C1534" s="20"/>
      <c r="D1534" s="20"/>
      <c r="E1534" s="21"/>
      <c r="F1534" s="24"/>
    </row>
    <row r="1535" spans="1:6" x14ac:dyDescent="0.25">
      <c r="A1535" s="18"/>
      <c r="B1535" s="187"/>
      <c r="C1535" s="20"/>
      <c r="D1535" s="20"/>
      <c r="E1535" s="21"/>
      <c r="F1535" s="24"/>
    </row>
    <row r="1536" spans="1:6" x14ac:dyDescent="0.25">
      <c r="A1536" s="18"/>
      <c r="B1536" s="25"/>
      <c r="C1536" s="20"/>
      <c r="D1536" s="20"/>
      <c r="E1536" s="21"/>
      <c r="F1536" s="24"/>
    </row>
    <row r="1537" spans="1:6" x14ac:dyDescent="0.25">
      <c r="A1537" s="18"/>
      <c r="B1537" s="121"/>
      <c r="C1537" s="20"/>
      <c r="D1537" s="20"/>
      <c r="E1537" s="21"/>
      <c r="F1537" s="24"/>
    </row>
    <row r="1538" spans="1:6" x14ac:dyDescent="0.25">
      <c r="A1538" s="18"/>
      <c r="B1538" s="132"/>
      <c r="C1538" s="20"/>
      <c r="D1538" s="20"/>
      <c r="E1538" s="21"/>
      <c r="F1538" s="24"/>
    </row>
    <row r="1539" spans="1:6" x14ac:dyDescent="0.25">
      <c r="A1539" s="18"/>
      <c r="B1539" s="132"/>
      <c r="C1539" s="20"/>
      <c r="D1539" s="20"/>
      <c r="E1539" s="21"/>
      <c r="F1539" s="24"/>
    </row>
    <row r="1540" spans="1:6" x14ac:dyDescent="0.25">
      <c r="A1540" s="18"/>
      <c r="B1540" s="132"/>
      <c r="C1540" s="20"/>
      <c r="D1540" s="20"/>
      <c r="E1540" s="21"/>
      <c r="F1540" s="24"/>
    </row>
    <row r="1541" spans="1:6" x14ac:dyDescent="0.25">
      <c r="A1541" s="18"/>
      <c r="B1541" s="132"/>
      <c r="C1541" s="20"/>
      <c r="D1541" s="20"/>
      <c r="E1541" s="21"/>
      <c r="F1541" s="24"/>
    </row>
    <row r="1542" spans="1:6" x14ac:dyDescent="0.25">
      <c r="A1542" s="18"/>
      <c r="B1542" s="132"/>
      <c r="C1542" s="20"/>
      <c r="D1542" s="20"/>
      <c r="E1542" s="21"/>
      <c r="F1542" s="24"/>
    </row>
    <row r="1543" spans="1:6" x14ac:dyDescent="0.25">
      <c r="A1543" s="18"/>
      <c r="B1543" s="132"/>
      <c r="C1543" s="20"/>
      <c r="D1543" s="20"/>
      <c r="E1543" s="21"/>
      <c r="F1543" s="24"/>
    </row>
    <row r="1544" spans="1:6" x14ac:dyDescent="0.25">
      <c r="A1544" s="18"/>
      <c r="B1544" s="132"/>
      <c r="C1544" s="20"/>
      <c r="D1544" s="20"/>
      <c r="E1544" s="21"/>
      <c r="F1544" s="24"/>
    </row>
    <row r="1545" spans="1:6" x14ac:dyDescent="0.25">
      <c r="A1545" s="18"/>
      <c r="B1545" s="132"/>
      <c r="C1545" s="20"/>
      <c r="D1545" s="20"/>
      <c r="E1545" s="21"/>
      <c r="F1545" s="24"/>
    </row>
    <row r="1546" spans="1:6" x14ac:dyDescent="0.25">
      <c r="A1546" s="18"/>
      <c r="B1546" s="132"/>
      <c r="C1546" s="20"/>
      <c r="D1546" s="20"/>
      <c r="E1546" s="21"/>
      <c r="F1546" s="24"/>
    </row>
    <row r="1547" spans="1:6" x14ac:dyDescent="0.25">
      <c r="A1547" s="18"/>
      <c r="B1547" s="132"/>
      <c r="C1547" s="20"/>
      <c r="D1547" s="20"/>
      <c r="E1547" s="21"/>
      <c r="F1547" s="24"/>
    </row>
    <row r="1548" spans="1:6" x14ac:dyDescent="0.25">
      <c r="A1548" s="18"/>
      <c r="B1548" s="132"/>
      <c r="C1548" s="20"/>
      <c r="D1548" s="20"/>
      <c r="E1548" s="21"/>
      <c r="F1548" s="24"/>
    </row>
    <row r="1549" spans="1:6" x14ac:dyDescent="0.25">
      <c r="A1549" s="18"/>
      <c r="B1549" s="132"/>
      <c r="C1549" s="20"/>
      <c r="D1549" s="20"/>
      <c r="E1549" s="21"/>
      <c r="F1549" s="24"/>
    </row>
    <row r="1550" spans="1:6" ht="15.75" thickBot="1" x14ac:dyDescent="0.3">
      <c r="A1550" s="100"/>
      <c r="B1550" s="129" t="s">
        <v>311</v>
      </c>
      <c r="C1550" s="102"/>
      <c r="D1550" s="102"/>
      <c r="E1550" s="103"/>
      <c r="F1550" s="104">
        <f>SUM(F1519:F1523)</f>
        <v>112712</v>
      </c>
    </row>
    <row r="1551" spans="1:6" x14ac:dyDescent="0.25">
      <c r="A1551" s="235" t="s">
        <v>0</v>
      </c>
      <c r="B1551" s="236" t="s">
        <v>1</v>
      </c>
      <c r="C1551" s="237" t="s">
        <v>13</v>
      </c>
      <c r="D1551" s="237"/>
      <c r="E1551" s="238"/>
      <c r="F1551" s="239" t="s">
        <v>5</v>
      </c>
    </row>
    <row r="1552" spans="1:6" x14ac:dyDescent="0.25">
      <c r="A1552" s="18"/>
      <c r="B1552" s="158"/>
      <c r="C1552" s="20"/>
      <c r="D1552" s="20"/>
      <c r="E1552" s="20"/>
      <c r="F1552" s="24"/>
    </row>
    <row r="1553" spans="1:6" x14ac:dyDescent="0.25">
      <c r="A1553" s="18"/>
      <c r="B1553" s="225" t="s">
        <v>334</v>
      </c>
      <c r="C1553" s="209"/>
      <c r="D1553" s="20"/>
      <c r="E1553" s="20"/>
      <c r="F1553" s="159"/>
    </row>
    <row r="1554" spans="1:6" x14ac:dyDescent="0.25">
      <c r="A1554" s="18"/>
      <c r="B1554" s="180"/>
      <c r="C1554" s="20"/>
      <c r="D1554" s="20"/>
      <c r="E1554" s="20"/>
      <c r="F1554" s="159"/>
    </row>
    <row r="1555" spans="1:6" x14ac:dyDescent="0.25">
      <c r="A1555" s="226" t="s">
        <v>7</v>
      </c>
      <c r="B1555" s="227" t="s">
        <v>86</v>
      </c>
      <c r="C1555" s="20">
        <v>14</v>
      </c>
      <c r="D1555" s="20"/>
      <c r="E1555" s="20"/>
      <c r="F1555" s="159">
        <f>F554</f>
        <v>785060</v>
      </c>
    </row>
    <row r="1556" spans="1:6" x14ac:dyDescent="0.25">
      <c r="A1556" s="226"/>
      <c r="B1556" s="180"/>
      <c r="C1556" s="20"/>
      <c r="D1556" s="20"/>
      <c r="E1556" s="20"/>
      <c r="F1556" s="159"/>
    </row>
    <row r="1557" spans="1:6" x14ac:dyDescent="0.25">
      <c r="A1557" s="226" t="s">
        <v>9</v>
      </c>
      <c r="B1557" s="227" t="s">
        <v>335</v>
      </c>
      <c r="C1557" s="20">
        <v>27</v>
      </c>
      <c r="D1557" s="20"/>
      <c r="E1557" s="20"/>
      <c r="F1557" s="159">
        <f>F1026</f>
        <v>1953122</v>
      </c>
    </row>
    <row r="1558" spans="1:6" x14ac:dyDescent="0.25">
      <c r="A1558" s="226"/>
      <c r="B1558" s="180"/>
      <c r="C1558" s="20"/>
      <c r="D1558" s="20"/>
      <c r="E1558" s="20"/>
      <c r="F1558" s="159"/>
    </row>
    <row r="1559" spans="1:6" x14ac:dyDescent="0.25">
      <c r="A1559" s="226" t="s">
        <v>10</v>
      </c>
      <c r="B1559" s="227" t="s">
        <v>336</v>
      </c>
      <c r="C1559" s="20">
        <v>38</v>
      </c>
      <c r="D1559" s="20"/>
      <c r="E1559" s="20"/>
      <c r="F1559" s="159">
        <f>F1439</f>
        <v>1240225</v>
      </c>
    </row>
    <row r="1560" spans="1:6" x14ac:dyDescent="0.25">
      <c r="A1560" s="226"/>
      <c r="B1560" s="227"/>
      <c r="C1560" s="20"/>
      <c r="D1560" s="20"/>
      <c r="E1560" s="20"/>
      <c r="F1560" s="159"/>
    </row>
    <row r="1561" spans="1:6" x14ac:dyDescent="0.25">
      <c r="A1561" s="226" t="s">
        <v>11</v>
      </c>
      <c r="B1561" s="227" t="s">
        <v>226</v>
      </c>
      <c r="C1561" s="20">
        <v>41</v>
      </c>
      <c r="D1561" s="20"/>
      <c r="E1561" s="20"/>
      <c r="F1561" s="159">
        <f>F1550</f>
        <v>112712</v>
      </c>
    </row>
    <row r="1562" spans="1:6" x14ac:dyDescent="0.25">
      <c r="A1562" s="226"/>
      <c r="B1562" s="227"/>
      <c r="C1562" s="20"/>
      <c r="D1562" s="20"/>
      <c r="E1562" s="20"/>
      <c r="F1562" s="159"/>
    </row>
    <row r="1563" spans="1:6" x14ac:dyDescent="0.25">
      <c r="A1563" s="226"/>
      <c r="B1563" s="227"/>
      <c r="C1563" s="20"/>
      <c r="D1563" s="20"/>
      <c r="E1563" s="20"/>
      <c r="F1563" s="159"/>
    </row>
    <row r="1564" spans="1:6" x14ac:dyDescent="0.25">
      <c r="A1564" s="91"/>
      <c r="B1564" s="25"/>
      <c r="C1564" s="167"/>
      <c r="D1564" s="167"/>
      <c r="E1564" s="205"/>
      <c r="F1564" s="228"/>
    </row>
    <row r="1565" spans="1:6" x14ac:dyDescent="0.25">
      <c r="A1565" s="181"/>
      <c r="B1565" s="185"/>
      <c r="C1565" s="229"/>
      <c r="D1565" s="106"/>
      <c r="E1565" s="205"/>
      <c r="F1565" s="230"/>
    </row>
    <row r="1566" spans="1:6" x14ac:dyDescent="0.25">
      <c r="A1566" s="240"/>
      <c r="B1566" s="214"/>
      <c r="C1566" s="241"/>
      <c r="D1566" s="241"/>
      <c r="E1566" s="242"/>
      <c r="F1566" s="243"/>
    </row>
    <row r="1567" spans="1:6" x14ac:dyDescent="0.25">
      <c r="A1567" s="215"/>
      <c r="B1567" s="231"/>
      <c r="C1567" s="216"/>
      <c r="D1567" s="232"/>
      <c r="E1567" s="95"/>
      <c r="F1567" s="233"/>
    </row>
    <row r="1568" spans="1:6" x14ac:dyDescent="0.25">
      <c r="A1568" s="215"/>
      <c r="B1568" s="132"/>
      <c r="C1568" s="216"/>
      <c r="D1568" s="232"/>
      <c r="E1568" s="95"/>
      <c r="F1568" s="233"/>
    </row>
    <row r="1569" spans="1:6" x14ac:dyDescent="0.25">
      <c r="A1569" s="215"/>
      <c r="B1569" s="154"/>
      <c r="C1569" s="216"/>
      <c r="D1569" s="232"/>
      <c r="E1569" s="95"/>
      <c r="F1569" s="233"/>
    </row>
    <row r="1570" spans="1:6" x14ac:dyDescent="0.25">
      <c r="A1570" s="215"/>
      <c r="B1570" s="132"/>
      <c r="C1570" s="216"/>
      <c r="D1570" s="232"/>
      <c r="E1570" s="95"/>
      <c r="F1570" s="233"/>
    </row>
    <row r="1571" spans="1:6" x14ac:dyDescent="0.25">
      <c r="A1571" s="91"/>
      <c r="B1571" s="25"/>
      <c r="C1571" s="106"/>
      <c r="D1571" s="106"/>
      <c r="E1571" s="205"/>
      <c r="F1571" s="204"/>
    </row>
    <row r="1572" spans="1:6" x14ac:dyDescent="0.25">
      <c r="A1572" s="91"/>
      <c r="B1572" s="25"/>
      <c r="C1572" s="106"/>
      <c r="D1572" s="106"/>
      <c r="E1572" s="205"/>
      <c r="F1572" s="204"/>
    </row>
    <row r="1573" spans="1:6" x14ac:dyDescent="0.25">
      <c r="A1573" s="91"/>
      <c r="B1573" s="25"/>
      <c r="C1573" s="229"/>
      <c r="D1573" s="106"/>
      <c r="E1573" s="205"/>
      <c r="F1573" s="204"/>
    </row>
    <row r="1574" spans="1:6" x14ac:dyDescent="0.25">
      <c r="A1574" s="18"/>
      <c r="B1574" s="25"/>
      <c r="C1574" s="20"/>
      <c r="D1574" s="20"/>
      <c r="E1574" s="21"/>
      <c r="F1574" s="24"/>
    </row>
    <row r="1575" spans="1:6" x14ac:dyDescent="0.25">
      <c r="A1575" s="18"/>
      <c r="B1575" s="25"/>
      <c r="C1575" s="20"/>
      <c r="D1575" s="20"/>
      <c r="E1575" s="21"/>
      <c r="F1575" s="24"/>
    </row>
    <row r="1576" spans="1:6" x14ac:dyDescent="0.25">
      <c r="A1576" s="18"/>
      <c r="B1576" s="25"/>
      <c r="C1576" s="20"/>
      <c r="D1576" s="20"/>
      <c r="E1576" s="21"/>
      <c r="F1576" s="24"/>
    </row>
    <row r="1577" spans="1:6" x14ac:dyDescent="0.25">
      <c r="A1577" s="18"/>
      <c r="B1577" s="25"/>
      <c r="C1577" s="20"/>
      <c r="D1577" s="20"/>
      <c r="E1577" s="21"/>
      <c r="F1577" s="24"/>
    </row>
    <row r="1578" spans="1:6" x14ac:dyDescent="0.25">
      <c r="A1578" s="18"/>
      <c r="B1578" s="25"/>
      <c r="C1578" s="20"/>
      <c r="D1578" s="20"/>
      <c r="E1578" s="21"/>
      <c r="F1578" s="24"/>
    </row>
    <row r="1579" spans="1:6" x14ac:dyDescent="0.25">
      <c r="A1579" s="18"/>
      <c r="B1579" s="132"/>
      <c r="C1579" s="20"/>
      <c r="D1579" s="20"/>
      <c r="E1579" s="21"/>
      <c r="F1579" s="24"/>
    </row>
    <row r="1580" spans="1:6" x14ac:dyDescent="0.25">
      <c r="A1580" s="18"/>
      <c r="B1580" s="44"/>
      <c r="C1580" s="20"/>
      <c r="D1580" s="20"/>
      <c r="E1580" s="21"/>
      <c r="F1580" s="24"/>
    </row>
    <row r="1581" spans="1:6" x14ac:dyDescent="0.25">
      <c r="A1581" s="18"/>
      <c r="B1581" s="44"/>
      <c r="C1581" s="20"/>
      <c r="D1581" s="20"/>
      <c r="E1581" s="21"/>
      <c r="F1581" s="24"/>
    </row>
    <row r="1582" spans="1:6" x14ac:dyDescent="0.25">
      <c r="A1582" s="18"/>
      <c r="B1582" s="44"/>
      <c r="C1582" s="20"/>
      <c r="D1582" s="20"/>
      <c r="E1582" s="21"/>
      <c r="F1582" s="24"/>
    </row>
    <row r="1583" spans="1:6" x14ac:dyDescent="0.25">
      <c r="A1583" s="18"/>
      <c r="B1583" s="44"/>
      <c r="C1583" s="20"/>
      <c r="D1583" s="20"/>
      <c r="E1583" s="21"/>
      <c r="F1583" s="24"/>
    </row>
    <row r="1584" spans="1:6" x14ac:dyDescent="0.25">
      <c r="A1584" s="18"/>
      <c r="B1584" s="25"/>
      <c r="C1584" s="20"/>
      <c r="D1584" s="20"/>
      <c r="E1584" s="21"/>
      <c r="F1584" s="24"/>
    </row>
    <row r="1585" spans="1:6" x14ac:dyDescent="0.25">
      <c r="A1585" s="18"/>
      <c r="B1585" s="25"/>
      <c r="C1585" s="20"/>
      <c r="D1585" s="20"/>
      <c r="E1585" s="21"/>
      <c r="F1585" s="24"/>
    </row>
    <row r="1586" spans="1:6" x14ac:dyDescent="0.25">
      <c r="A1586" s="18"/>
      <c r="B1586" s="25"/>
      <c r="C1586" s="20"/>
      <c r="D1586" s="20"/>
      <c r="E1586" s="21"/>
      <c r="F1586" s="24"/>
    </row>
    <row r="1587" spans="1:6" x14ac:dyDescent="0.25">
      <c r="A1587" s="18"/>
      <c r="B1587" s="25"/>
      <c r="C1587" s="20"/>
      <c r="D1587" s="20"/>
      <c r="E1587" s="21"/>
      <c r="F1587" s="24"/>
    </row>
    <row r="1588" spans="1:6" x14ac:dyDescent="0.25">
      <c r="A1588" s="18"/>
      <c r="B1588" s="25"/>
      <c r="C1588" s="20"/>
      <c r="D1588" s="20"/>
      <c r="E1588" s="21"/>
      <c r="F1588" s="24"/>
    </row>
    <row r="1589" spans="1:6" x14ac:dyDescent="0.25">
      <c r="A1589" s="18"/>
      <c r="B1589" s="25"/>
      <c r="C1589" s="20"/>
      <c r="D1589" s="20"/>
      <c r="E1589" s="21"/>
      <c r="F1589" s="24"/>
    </row>
    <row r="1590" spans="1:6" x14ac:dyDescent="0.25">
      <c r="A1590" s="18"/>
      <c r="B1590" s="25"/>
      <c r="C1590" s="20"/>
      <c r="D1590" s="20"/>
      <c r="E1590" s="21"/>
      <c r="F1590" s="24"/>
    </row>
    <row r="1591" spans="1:6" x14ac:dyDescent="0.25">
      <c r="A1591" s="18"/>
      <c r="B1591" s="25"/>
      <c r="C1591" s="20"/>
      <c r="D1591" s="20"/>
      <c r="E1591" s="21"/>
      <c r="F1591" s="24"/>
    </row>
    <row r="1592" spans="1:6" x14ac:dyDescent="0.25">
      <c r="A1592" s="18"/>
      <c r="B1592" s="25"/>
      <c r="C1592" s="20"/>
      <c r="D1592" s="20"/>
      <c r="E1592" s="21"/>
      <c r="F1592" s="24"/>
    </row>
    <row r="1593" spans="1:6" x14ac:dyDescent="0.25">
      <c r="A1593" s="18"/>
      <c r="B1593" s="25"/>
      <c r="C1593" s="20"/>
      <c r="D1593" s="20"/>
      <c r="E1593" s="21"/>
      <c r="F1593" s="24"/>
    </row>
    <row r="1594" spans="1:6" x14ac:dyDescent="0.25">
      <c r="A1594" s="18"/>
      <c r="B1594" s="25"/>
      <c r="C1594" s="20"/>
      <c r="D1594" s="20"/>
      <c r="E1594" s="21"/>
      <c r="F1594" s="24"/>
    </row>
    <row r="1595" spans="1:6" x14ac:dyDescent="0.25">
      <c r="A1595" s="18"/>
      <c r="B1595" s="132"/>
      <c r="C1595" s="20"/>
      <c r="D1595" s="20"/>
      <c r="E1595" s="21"/>
      <c r="F1595" s="24"/>
    </row>
    <row r="1596" spans="1:6" ht="26.25" thickBot="1" x14ac:dyDescent="0.3">
      <c r="A1596" s="100"/>
      <c r="B1596" s="129" t="s">
        <v>337</v>
      </c>
      <c r="C1596" s="102"/>
      <c r="D1596" s="102"/>
      <c r="E1596" s="102"/>
      <c r="F1596" s="104">
        <f>SUM(F1555:F1561)</f>
        <v>4091119</v>
      </c>
    </row>
    <row r="1597" spans="1:6" x14ac:dyDescent="0.25">
      <c r="A1597" s="1" t="s">
        <v>338</v>
      </c>
      <c r="B1597" s="2" t="s">
        <v>1</v>
      </c>
      <c r="C1597" s="3" t="s">
        <v>13</v>
      </c>
      <c r="D1597" s="3"/>
      <c r="E1597" s="4"/>
      <c r="F1597" s="5" t="s">
        <v>5</v>
      </c>
    </row>
    <row r="1598" spans="1:6" x14ac:dyDescent="0.25">
      <c r="A1598" s="6"/>
      <c r="B1598" s="11"/>
      <c r="C1598" s="8"/>
      <c r="D1598" s="8"/>
      <c r="E1598" s="9"/>
      <c r="F1598" s="47"/>
    </row>
    <row r="1599" spans="1:6" x14ac:dyDescent="0.25">
      <c r="A1599" s="6"/>
      <c r="B1599" s="48" t="s">
        <v>339</v>
      </c>
      <c r="C1599" s="49"/>
      <c r="D1599" s="8"/>
      <c r="E1599" s="9"/>
      <c r="F1599" s="47"/>
    </row>
    <row r="1600" spans="1:6" x14ac:dyDescent="0.25">
      <c r="A1600" s="6"/>
      <c r="B1600" s="11"/>
      <c r="C1600" s="8"/>
      <c r="D1600" s="8"/>
      <c r="E1600" s="9"/>
      <c r="F1600" s="47"/>
    </row>
    <row r="1601" spans="1:6" x14ac:dyDescent="0.25">
      <c r="A1601" s="50">
        <v>1</v>
      </c>
      <c r="B1601" s="51" t="s">
        <v>340</v>
      </c>
      <c r="C1601" s="8">
        <v>6</v>
      </c>
      <c r="D1601" s="8"/>
      <c r="E1601" s="9"/>
      <c r="F1601" s="47">
        <f>F234</f>
        <v>853461</v>
      </c>
    </row>
    <row r="1602" spans="1:6" x14ac:dyDescent="0.25">
      <c r="A1602" s="52"/>
      <c r="B1602" s="53"/>
      <c r="C1602" s="8"/>
      <c r="D1602" s="8"/>
      <c r="E1602" s="9"/>
      <c r="F1602" s="47"/>
    </row>
    <row r="1603" spans="1:6" x14ac:dyDescent="0.25">
      <c r="A1603" s="50">
        <v>2</v>
      </c>
      <c r="B1603" s="51" t="s">
        <v>341</v>
      </c>
      <c r="C1603" s="8">
        <v>9</v>
      </c>
      <c r="D1603" s="8"/>
      <c r="E1603" s="9"/>
      <c r="F1603" s="47">
        <f>F360</f>
        <v>1311400</v>
      </c>
    </row>
    <row r="1604" spans="1:6" x14ac:dyDescent="0.25">
      <c r="A1604" s="50"/>
      <c r="B1604" s="51"/>
      <c r="C1604" s="8"/>
      <c r="D1604" s="8"/>
      <c r="E1604" s="9"/>
      <c r="F1604" s="47"/>
    </row>
    <row r="1605" spans="1:6" x14ac:dyDescent="0.25">
      <c r="A1605" s="50">
        <v>3</v>
      </c>
      <c r="B1605" s="51" t="s">
        <v>342</v>
      </c>
      <c r="C1605" s="8">
        <v>42</v>
      </c>
      <c r="D1605" s="8"/>
      <c r="E1605" s="9"/>
      <c r="F1605" s="47">
        <f>F1596</f>
        <v>4091119</v>
      </c>
    </row>
    <row r="1606" spans="1:6" ht="15.75" thickBot="1" x14ac:dyDescent="0.3">
      <c r="A1606" s="50"/>
      <c r="B1606" s="51"/>
      <c r="C1606" s="8"/>
      <c r="D1606" s="8"/>
      <c r="E1606" s="9"/>
      <c r="F1606" s="47"/>
    </row>
    <row r="1607" spans="1:6" ht="15.75" thickBot="1" x14ac:dyDescent="0.3">
      <c r="A1607" s="54"/>
      <c r="B1607" s="55" t="s">
        <v>312</v>
      </c>
      <c r="C1607" s="56"/>
      <c r="D1607" s="56"/>
      <c r="E1607" s="456">
        <f>SUM(F1601:F1605)</f>
        <v>6255980</v>
      </c>
      <c r="F1607" s="457"/>
    </row>
    <row r="1608" spans="1:6" x14ac:dyDescent="0.25">
      <c r="A1608" s="57"/>
      <c r="B1608" s="58"/>
      <c r="C1608" s="57"/>
      <c r="D1608" s="57"/>
      <c r="E1608" s="57"/>
      <c r="F1608" s="59"/>
    </row>
    <row r="1609" spans="1:6" x14ac:dyDescent="0.25">
      <c r="A1609" s="60"/>
      <c r="B1609" s="61"/>
      <c r="C1609" s="60"/>
      <c r="D1609" s="60"/>
      <c r="E1609" s="60"/>
      <c r="F1609" s="62"/>
    </row>
    <row r="1610" spans="1:6" x14ac:dyDescent="0.25">
      <c r="A1610" s="60"/>
      <c r="B1610" s="61"/>
      <c r="C1610" s="60"/>
      <c r="D1610" s="60"/>
      <c r="E1610" s="60"/>
      <c r="F1610" s="62"/>
    </row>
    <row r="1611" spans="1:6" x14ac:dyDescent="0.25">
      <c r="A1611" s="60"/>
      <c r="B1611" s="63"/>
      <c r="C1611" s="60"/>
      <c r="D1611" s="60"/>
      <c r="E1611" s="60"/>
      <c r="F1611" s="62"/>
    </row>
    <row r="1612" spans="1:6" x14ac:dyDescent="0.25">
      <c r="A1612" s="60"/>
      <c r="B1612" s="244"/>
      <c r="C1612" s="60"/>
      <c r="D1612" s="60"/>
      <c r="E1612" s="60"/>
      <c r="F1612" s="62"/>
    </row>
    <row r="1613" spans="1:6" x14ac:dyDescent="0.25">
      <c r="A1613" s="60"/>
      <c r="B1613" s="63"/>
      <c r="C1613" s="60"/>
      <c r="D1613" s="60"/>
      <c r="E1613" s="60"/>
      <c r="F1613" s="62"/>
    </row>
    <row r="1614" spans="1:6" x14ac:dyDescent="0.25">
      <c r="A1614" s="60"/>
      <c r="B1614" s="244"/>
      <c r="C1614" s="60"/>
      <c r="D1614" s="60"/>
      <c r="E1614" s="60"/>
      <c r="F1614" s="62"/>
    </row>
    <row r="1615" spans="1:6" x14ac:dyDescent="0.25">
      <c r="A1615" s="60"/>
      <c r="B1615" s="61"/>
      <c r="C1615" s="60"/>
      <c r="D1615" s="60"/>
      <c r="E1615" s="60"/>
      <c r="F1615" s="62"/>
    </row>
    <row r="1616" spans="1:6" x14ac:dyDescent="0.25">
      <c r="A1616" s="60"/>
      <c r="B1616" s="61"/>
      <c r="C1616" s="60"/>
      <c r="D1616" s="60"/>
      <c r="E1616" s="60"/>
      <c r="F1616" s="62"/>
    </row>
    <row r="1617" spans="1:6" x14ac:dyDescent="0.25">
      <c r="A1617" s="60"/>
      <c r="B1617" s="63"/>
      <c r="C1617" s="60"/>
      <c r="D1617" s="60"/>
      <c r="E1617" s="60"/>
      <c r="F1617" s="62"/>
    </row>
    <row r="1618" spans="1:6" x14ac:dyDescent="0.25">
      <c r="A1618" s="60"/>
      <c r="B1618" s="63"/>
      <c r="C1618" s="60"/>
      <c r="D1618" s="60"/>
      <c r="E1618" s="60"/>
      <c r="F1618" s="62"/>
    </row>
    <row r="1619" spans="1:6" x14ac:dyDescent="0.25">
      <c r="A1619" s="60"/>
      <c r="B1619" s="63"/>
      <c r="C1619" s="60"/>
      <c r="D1619" s="60"/>
      <c r="E1619" s="60"/>
      <c r="F1619" s="62"/>
    </row>
    <row r="1620" spans="1:6" x14ac:dyDescent="0.25">
      <c r="A1620" s="60"/>
      <c r="B1620" s="46"/>
      <c r="C1620" s="60"/>
      <c r="D1620" s="60"/>
      <c r="E1620" s="60"/>
      <c r="F1620" s="62"/>
    </row>
    <row r="1621" spans="1:6" x14ac:dyDescent="0.25">
      <c r="A1621" s="60"/>
      <c r="B1621" s="63"/>
      <c r="C1621" s="60"/>
      <c r="D1621" s="60"/>
      <c r="E1621" s="60"/>
      <c r="F1621" s="62"/>
    </row>
    <row r="1622" spans="1:6" x14ac:dyDescent="0.25">
      <c r="A1622" s="60"/>
      <c r="B1622" s="63"/>
      <c r="C1622" s="60"/>
      <c r="D1622" s="60"/>
      <c r="E1622" s="60"/>
      <c r="F1622" s="62"/>
    </row>
    <row r="1623" spans="1:6" x14ac:dyDescent="0.25">
      <c r="A1623" s="60"/>
      <c r="B1623" s="63"/>
      <c r="C1623" s="60"/>
      <c r="D1623" s="60"/>
      <c r="E1623" s="60"/>
      <c r="F1623" s="62"/>
    </row>
    <row r="1624" spans="1:6" x14ac:dyDescent="0.25">
      <c r="A1624" s="64"/>
      <c r="B1624" s="65"/>
      <c r="C1624" s="64"/>
      <c r="D1624" s="64"/>
      <c r="E1624" s="64"/>
      <c r="F1624" s="64"/>
    </row>
    <row r="1625" spans="1:6" x14ac:dyDescent="0.25">
      <c r="A1625" s="60"/>
      <c r="B1625" s="61"/>
      <c r="C1625" s="60"/>
      <c r="D1625" s="60"/>
      <c r="E1625" s="60"/>
      <c r="F1625" s="62"/>
    </row>
    <row r="1626" spans="1:6" x14ac:dyDescent="0.25">
      <c r="A1626" s="60"/>
      <c r="B1626" s="61"/>
      <c r="C1626" s="60"/>
      <c r="D1626" s="60"/>
      <c r="E1626" s="60"/>
      <c r="F1626" s="62"/>
    </row>
    <row r="1627" spans="1:6" x14ac:dyDescent="0.25">
      <c r="A1627" s="60"/>
      <c r="B1627" s="66"/>
      <c r="C1627" s="60"/>
      <c r="D1627" s="60"/>
      <c r="E1627" s="60"/>
      <c r="F1627" s="62"/>
    </row>
    <row r="1628" spans="1:6" x14ac:dyDescent="0.25">
      <c r="A1628" s="60"/>
      <c r="B1628" s="63"/>
      <c r="C1628" s="60"/>
      <c r="D1628" s="60"/>
      <c r="E1628" s="60"/>
      <c r="F1628" s="62"/>
    </row>
    <row r="1629" spans="1:6" x14ac:dyDescent="0.25">
      <c r="A1629" s="60"/>
      <c r="B1629" s="61"/>
      <c r="C1629" s="60"/>
      <c r="D1629" s="60"/>
      <c r="E1629" s="60"/>
      <c r="F1629" s="62"/>
    </row>
    <row r="1630" spans="1:6" x14ac:dyDescent="0.25">
      <c r="A1630" s="60"/>
      <c r="B1630" s="61"/>
      <c r="C1630" s="60"/>
      <c r="D1630" s="60"/>
      <c r="E1630" s="60"/>
      <c r="F1630" s="62"/>
    </row>
    <row r="1631" spans="1:6" x14ac:dyDescent="0.25">
      <c r="A1631" s="60"/>
      <c r="B1631" s="63"/>
      <c r="C1631" s="60"/>
      <c r="D1631" s="60"/>
      <c r="E1631" s="60"/>
      <c r="F1631" s="62"/>
    </row>
    <row r="1632" spans="1:6" x14ac:dyDescent="0.25">
      <c r="A1632" s="60"/>
      <c r="B1632" s="61"/>
      <c r="C1632" s="60"/>
      <c r="D1632" s="60"/>
      <c r="E1632" s="60"/>
      <c r="F1632" s="62"/>
    </row>
    <row r="1633" spans="1:6" x14ac:dyDescent="0.25">
      <c r="A1633" s="60"/>
      <c r="B1633" s="63"/>
      <c r="C1633" s="60"/>
      <c r="D1633" s="60"/>
      <c r="E1633" s="60"/>
      <c r="F1633" s="62"/>
    </row>
    <row r="1634" spans="1:6" x14ac:dyDescent="0.25">
      <c r="A1634" s="60"/>
      <c r="B1634" s="63"/>
      <c r="C1634" s="60"/>
      <c r="D1634" s="60"/>
      <c r="E1634" s="60"/>
      <c r="F1634" s="62"/>
    </row>
    <row r="1635" spans="1:6" x14ac:dyDescent="0.25">
      <c r="A1635" s="60"/>
      <c r="B1635" s="61"/>
      <c r="C1635" s="60"/>
      <c r="D1635" s="60"/>
      <c r="E1635" s="60"/>
      <c r="F1635" s="62"/>
    </row>
    <row r="1636" spans="1:6" x14ac:dyDescent="0.25">
      <c r="A1636" s="60"/>
      <c r="B1636" s="61"/>
      <c r="C1636" s="60"/>
      <c r="D1636" s="60"/>
      <c r="E1636" s="60"/>
      <c r="F1636" s="62"/>
    </row>
    <row r="1637" spans="1:6" x14ac:dyDescent="0.25">
      <c r="A1637" s="60"/>
      <c r="B1637" s="63"/>
      <c r="C1637" s="60"/>
      <c r="D1637" s="60"/>
      <c r="E1637" s="60"/>
      <c r="F1637" s="62"/>
    </row>
    <row r="1638" spans="1:6" x14ac:dyDescent="0.25">
      <c r="A1638" s="60"/>
      <c r="B1638" s="67"/>
      <c r="C1638" s="60"/>
      <c r="D1638" s="60"/>
      <c r="E1638" s="60"/>
      <c r="F1638" s="62"/>
    </row>
    <row r="1639" spans="1:6" x14ac:dyDescent="0.25">
      <c r="A1639" s="68"/>
      <c r="B1639" s="61"/>
      <c r="C1639" s="60"/>
      <c r="D1639" s="60"/>
      <c r="E1639" s="60"/>
      <c r="F1639" s="62"/>
    </row>
    <row r="1640" spans="1:6" x14ac:dyDescent="0.25">
      <c r="A1640" s="60"/>
      <c r="B1640" s="63"/>
      <c r="C1640" s="60"/>
      <c r="D1640" s="60"/>
      <c r="E1640" s="60"/>
      <c r="F1640" s="62"/>
    </row>
    <row r="1641" spans="1:6" x14ac:dyDescent="0.25">
      <c r="A1641" s="60"/>
      <c r="B1641" s="63"/>
      <c r="C1641" s="60"/>
      <c r="D1641" s="60"/>
      <c r="E1641" s="60"/>
      <c r="F1641" s="62"/>
    </row>
    <row r="1642" spans="1:6" x14ac:dyDescent="0.25">
      <c r="A1642" s="60"/>
      <c r="B1642" s="63"/>
      <c r="C1642" s="60"/>
      <c r="D1642" s="60"/>
      <c r="E1642" s="60"/>
      <c r="F1642" s="62"/>
    </row>
    <row r="1643" spans="1:6" x14ac:dyDescent="0.25">
      <c r="A1643" s="60"/>
      <c r="B1643" s="63"/>
      <c r="C1643" s="60"/>
      <c r="D1643" s="60"/>
      <c r="E1643" s="60"/>
      <c r="F1643" s="62"/>
    </row>
    <row r="1644" spans="1:6" x14ac:dyDescent="0.25">
      <c r="A1644" s="69"/>
      <c r="B1644" s="70"/>
      <c r="C1644" s="69"/>
      <c r="D1644" s="69"/>
      <c r="E1644" s="69"/>
      <c r="F1644" s="71"/>
    </row>
    <row r="1645" spans="1:6" x14ac:dyDescent="0.25">
      <c r="A1645" s="18"/>
      <c r="B1645" s="44"/>
      <c r="C1645" s="20"/>
      <c r="D1645" s="20"/>
      <c r="E1645" s="21"/>
      <c r="F1645" s="24"/>
    </row>
    <row r="1646" spans="1:6" ht="15.75" thickBot="1" x14ac:dyDescent="0.3">
      <c r="A1646" s="100"/>
      <c r="B1646" s="101"/>
      <c r="C1646" s="102"/>
      <c r="D1646" s="102"/>
      <c r="E1646" s="103"/>
      <c r="F1646" s="104"/>
    </row>
    <row r="1648" spans="1:6" x14ac:dyDescent="0.25">
      <c r="B1648" s="11"/>
      <c r="F1648" s="84"/>
    </row>
    <row r="1649" spans="2:6" x14ac:dyDescent="0.25">
      <c r="F1649" s="86"/>
    </row>
    <row r="1650" spans="2:6" x14ac:dyDescent="0.25">
      <c r="B1650" s="11"/>
      <c r="F1650" s="84"/>
    </row>
    <row r="1682" spans="1:7" ht="15.75" thickBot="1" x14ac:dyDescent="0.3">
      <c r="A1682" s="30"/>
      <c r="B1682" s="31"/>
      <c r="C1682" s="32"/>
      <c r="D1682" s="32"/>
      <c r="E1682" s="33"/>
      <c r="F1682" s="34"/>
    </row>
    <row r="1683" spans="1:7" x14ac:dyDescent="0.25">
      <c r="A1683" s="1"/>
      <c r="B1683" s="2"/>
      <c r="C1683" s="3"/>
      <c r="D1683" s="3"/>
      <c r="E1683" s="4"/>
      <c r="F1683" s="5"/>
    </row>
    <row r="1684" spans="1:7" x14ac:dyDescent="0.25">
      <c r="A1684" s="6"/>
      <c r="B1684" s="11"/>
      <c r="C1684" s="8"/>
      <c r="D1684" s="8"/>
      <c r="E1684" s="9"/>
      <c r="F1684" s="47"/>
    </row>
    <row r="1685" spans="1:7" x14ac:dyDescent="0.25">
      <c r="A1685" s="6"/>
      <c r="B1685" s="48"/>
      <c r="C1685" s="49"/>
      <c r="D1685" s="8"/>
      <c r="E1685" s="9"/>
      <c r="F1685" s="47"/>
    </row>
    <row r="1686" spans="1:7" x14ac:dyDescent="0.25">
      <c r="A1686" s="6"/>
      <c r="B1686" s="11"/>
      <c r="C1686" s="8"/>
      <c r="D1686" s="8"/>
      <c r="E1686" s="9"/>
      <c r="F1686" s="47"/>
    </row>
    <row r="1687" spans="1:7" x14ac:dyDescent="0.25">
      <c r="A1687" s="50"/>
      <c r="B1687" s="51"/>
      <c r="C1687" s="8"/>
      <c r="D1687" s="8"/>
      <c r="E1687" s="9"/>
      <c r="F1687" s="47"/>
    </row>
    <row r="1688" spans="1:7" x14ac:dyDescent="0.25">
      <c r="A1688" s="52"/>
      <c r="B1688" s="53"/>
      <c r="C1688" s="8"/>
      <c r="D1688" s="8"/>
      <c r="E1688" s="9"/>
      <c r="F1688" s="47"/>
    </row>
    <row r="1689" spans="1:7" x14ac:dyDescent="0.25">
      <c r="A1689" s="50"/>
      <c r="B1689" s="110"/>
      <c r="C1689" s="8"/>
      <c r="D1689" s="8"/>
      <c r="E1689" s="9"/>
      <c r="F1689" s="47"/>
    </row>
    <row r="1690" spans="1:7" x14ac:dyDescent="0.25">
      <c r="A1690" s="52"/>
      <c r="B1690" s="53"/>
      <c r="C1690" s="8"/>
      <c r="D1690" s="8"/>
      <c r="E1690" s="9"/>
      <c r="F1690" s="47"/>
    </row>
    <row r="1691" spans="1:7" x14ac:dyDescent="0.25">
      <c r="A1691" s="50"/>
      <c r="B1691" s="51"/>
      <c r="C1691" s="8"/>
      <c r="D1691" s="8"/>
      <c r="E1691" s="9"/>
      <c r="F1691" s="47"/>
    </row>
    <row r="1692" spans="1:7" s="99" customFormat="1" ht="12.75" x14ac:dyDescent="0.25">
      <c r="A1692" s="52"/>
      <c r="B1692" s="53"/>
      <c r="C1692" s="8"/>
      <c r="D1692" s="8"/>
      <c r="E1692" s="9"/>
      <c r="F1692" s="47"/>
      <c r="G1692" s="98"/>
    </row>
    <row r="1693" spans="1:7" s="99" customFormat="1" ht="12.75" x14ac:dyDescent="0.25">
      <c r="A1693" s="50"/>
      <c r="B1693" s="111"/>
      <c r="C1693" s="8"/>
      <c r="D1693" s="8"/>
      <c r="E1693" s="9"/>
      <c r="F1693" s="47"/>
      <c r="G1693" s="98"/>
    </row>
    <row r="1694" spans="1:7" x14ac:dyDescent="0.25">
      <c r="A1694" s="6"/>
      <c r="B1694" s="11"/>
      <c r="C1694" s="8"/>
      <c r="D1694" s="8"/>
      <c r="E1694" s="9"/>
      <c r="F1694" s="47"/>
    </row>
    <row r="1695" spans="1:7" x14ac:dyDescent="0.25">
      <c r="A1695" s="50"/>
      <c r="B1695" s="111"/>
      <c r="C1695" s="8"/>
      <c r="D1695" s="8"/>
      <c r="E1695" s="9"/>
      <c r="F1695" s="47"/>
    </row>
    <row r="1696" spans="1:7" x14ac:dyDescent="0.25">
      <c r="A1696" s="6"/>
      <c r="B1696" s="29"/>
      <c r="C1696" s="8"/>
      <c r="D1696" s="8"/>
      <c r="E1696" s="9"/>
      <c r="F1696" s="10"/>
    </row>
    <row r="1697" spans="1:7" x14ac:dyDescent="0.25">
      <c r="A1697" s="50"/>
      <c r="B1697" s="111"/>
      <c r="C1697" s="8"/>
      <c r="D1697" s="8"/>
      <c r="E1697" s="9"/>
      <c r="F1697" s="47"/>
    </row>
    <row r="1698" spans="1:7" s="99" customFormat="1" ht="12.75" x14ac:dyDescent="0.25">
      <c r="A1698" s="6"/>
      <c r="B1698" s="29"/>
      <c r="C1698" s="8"/>
      <c r="D1698" s="8"/>
      <c r="E1698" s="9"/>
      <c r="F1698" s="10"/>
      <c r="G1698" s="98"/>
    </row>
    <row r="1699" spans="1:7" s="99" customFormat="1" ht="12.75" x14ac:dyDescent="0.25">
      <c r="A1699" s="50"/>
      <c r="B1699" s="111"/>
      <c r="C1699" s="8"/>
      <c r="D1699" s="8"/>
      <c r="E1699" s="9"/>
      <c r="F1699" s="47"/>
      <c r="G1699" s="98"/>
    </row>
    <row r="1700" spans="1:7" s="99" customFormat="1" ht="12.75" x14ac:dyDescent="0.25">
      <c r="A1700" s="6"/>
      <c r="B1700" s="29"/>
      <c r="C1700" s="8"/>
      <c r="D1700" s="8"/>
      <c r="E1700" s="9"/>
      <c r="F1700" s="10"/>
      <c r="G1700" s="98"/>
    </row>
    <row r="1701" spans="1:7" s="99" customFormat="1" ht="12.75" x14ac:dyDescent="0.25">
      <c r="A1701" s="6"/>
      <c r="B1701" s="29"/>
      <c r="C1701" s="8"/>
      <c r="D1701" s="8"/>
      <c r="E1701" s="9"/>
      <c r="F1701" s="10"/>
      <c r="G1701" s="98"/>
    </row>
    <row r="1702" spans="1:7" x14ac:dyDescent="0.25">
      <c r="A1702" s="6"/>
      <c r="B1702" s="29"/>
      <c r="C1702" s="8"/>
      <c r="D1702" s="8"/>
      <c r="E1702" s="9"/>
      <c r="F1702" s="10"/>
    </row>
    <row r="1703" spans="1:7" x14ac:dyDescent="0.25">
      <c r="A1703" s="6"/>
      <c r="B1703" s="29"/>
      <c r="C1703" s="8"/>
      <c r="D1703" s="8"/>
      <c r="E1703" s="9"/>
      <c r="F1703" s="10"/>
    </row>
    <row r="1704" spans="1:7" x14ac:dyDescent="0.25">
      <c r="A1704" s="6"/>
      <c r="B1704" s="29"/>
      <c r="C1704" s="8"/>
      <c r="D1704" s="8"/>
      <c r="E1704" s="9"/>
      <c r="F1704" s="10"/>
    </row>
    <row r="1705" spans="1:7" x14ac:dyDescent="0.25">
      <c r="A1705" s="6"/>
      <c r="B1705" s="29"/>
      <c r="C1705" s="8"/>
      <c r="D1705" s="8"/>
      <c r="E1705" s="9"/>
      <c r="F1705" s="10"/>
    </row>
    <row r="1706" spans="1:7" x14ac:dyDescent="0.25">
      <c r="A1706" s="6"/>
      <c r="B1706" s="29"/>
      <c r="C1706" s="8"/>
      <c r="D1706" s="8"/>
      <c r="E1706" s="9"/>
      <c r="F1706" s="10"/>
    </row>
    <row r="1707" spans="1:7" x14ac:dyDescent="0.25">
      <c r="A1707" s="6"/>
      <c r="B1707" s="29"/>
      <c r="C1707" s="8"/>
      <c r="D1707" s="8"/>
      <c r="E1707" s="9"/>
      <c r="F1707" s="10"/>
    </row>
    <row r="1708" spans="1:7" x14ac:dyDescent="0.25">
      <c r="A1708" s="6"/>
      <c r="B1708" s="29"/>
      <c r="C1708" s="8"/>
      <c r="D1708" s="8"/>
      <c r="E1708" s="9"/>
      <c r="F1708" s="10"/>
    </row>
    <row r="1709" spans="1:7" x14ac:dyDescent="0.25">
      <c r="A1709" s="6"/>
      <c r="B1709" s="29"/>
      <c r="C1709" s="8"/>
      <c r="D1709" s="8"/>
      <c r="E1709" s="9"/>
      <c r="F1709" s="10"/>
    </row>
    <row r="1710" spans="1:7" x14ac:dyDescent="0.25">
      <c r="A1710" s="6"/>
      <c r="B1710" s="29"/>
      <c r="C1710" s="8"/>
      <c r="D1710" s="8"/>
      <c r="E1710" s="9"/>
      <c r="F1710" s="10"/>
    </row>
    <row r="1711" spans="1:7" x14ac:dyDescent="0.25">
      <c r="A1711" s="6"/>
      <c r="B1711" s="29"/>
      <c r="C1711" s="8"/>
      <c r="D1711" s="8"/>
      <c r="E1711" s="9"/>
      <c r="F1711" s="10"/>
    </row>
    <row r="1712" spans="1:7" x14ac:dyDescent="0.25">
      <c r="A1712" s="6"/>
      <c r="B1712" s="29"/>
      <c r="C1712" s="8"/>
      <c r="D1712" s="8"/>
      <c r="E1712" s="9"/>
      <c r="F1712" s="10"/>
    </row>
    <row r="1713" spans="1:6" x14ac:dyDescent="0.25">
      <c r="A1713" s="6"/>
      <c r="B1713" s="29"/>
      <c r="C1713" s="8"/>
      <c r="D1713" s="8"/>
      <c r="E1713" s="9"/>
      <c r="F1713" s="10"/>
    </row>
    <row r="1714" spans="1:6" x14ac:dyDescent="0.25">
      <c r="A1714" s="6"/>
      <c r="B1714" s="29"/>
      <c r="C1714" s="8"/>
      <c r="D1714" s="8"/>
      <c r="E1714" s="9"/>
      <c r="F1714" s="10"/>
    </row>
    <row r="1715" spans="1:6" x14ac:dyDescent="0.25">
      <c r="A1715" s="6"/>
      <c r="B1715" s="29"/>
      <c r="C1715" s="8"/>
      <c r="D1715" s="8"/>
      <c r="E1715" s="9"/>
      <c r="F1715" s="10"/>
    </row>
    <row r="1716" spans="1:6" x14ac:dyDescent="0.25">
      <c r="A1716" s="6"/>
      <c r="B1716" s="29"/>
      <c r="C1716" s="8"/>
      <c r="D1716" s="8"/>
      <c r="E1716" s="9"/>
      <c r="F1716" s="10"/>
    </row>
    <row r="1717" spans="1:6" x14ac:dyDescent="0.25">
      <c r="A1717" s="6"/>
      <c r="B1717" s="29"/>
      <c r="C1717" s="8"/>
      <c r="D1717" s="8"/>
      <c r="E1717" s="9"/>
      <c r="F1717" s="10"/>
    </row>
    <row r="1718" spans="1:6" x14ac:dyDescent="0.25">
      <c r="A1718" s="6"/>
      <c r="B1718" s="29"/>
      <c r="C1718" s="8"/>
      <c r="D1718" s="8"/>
      <c r="E1718" s="9"/>
      <c r="F1718" s="10"/>
    </row>
    <row r="1719" spans="1:6" x14ac:dyDescent="0.25">
      <c r="A1719" s="6"/>
      <c r="B1719" s="29"/>
      <c r="C1719" s="8"/>
      <c r="D1719" s="8"/>
      <c r="E1719" s="9"/>
      <c r="F1719" s="10"/>
    </row>
    <row r="1720" spans="1:6" x14ac:dyDescent="0.25">
      <c r="A1720" s="6"/>
      <c r="B1720" s="29"/>
      <c r="C1720" s="8"/>
      <c r="D1720" s="8"/>
      <c r="E1720" s="9"/>
      <c r="F1720" s="10"/>
    </row>
    <row r="1721" spans="1:6" x14ac:dyDescent="0.25">
      <c r="A1721" s="6"/>
      <c r="B1721" s="29"/>
      <c r="C1721" s="8"/>
      <c r="D1721" s="8"/>
      <c r="E1721" s="9"/>
      <c r="F1721" s="10"/>
    </row>
    <row r="1722" spans="1:6" x14ac:dyDescent="0.25">
      <c r="A1722" s="6"/>
      <c r="B1722" s="29"/>
      <c r="C1722" s="8"/>
      <c r="D1722" s="8"/>
      <c r="E1722" s="9"/>
      <c r="F1722" s="10"/>
    </row>
    <row r="1723" spans="1:6" x14ac:dyDescent="0.25">
      <c r="A1723" s="6"/>
      <c r="B1723" s="29"/>
      <c r="C1723" s="8"/>
      <c r="D1723" s="8"/>
      <c r="E1723" s="9"/>
      <c r="F1723" s="10"/>
    </row>
    <row r="1724" spans="1:6" x14ac:dyDescent="0.25">
      <c r="A1724" s="6"/>
      <c r="B1724" s="29"/>
      <c r="C1724" s="8"/>
      <c r="D1724" s="8"/>
      <c r="E1724" s="9"/>
      <c r="F1724" s="10"/>
    </row>
    <row r="1725" spans="1:6" x14ac:dyDescent="0.25">
      <c r="A1725" s="6"/>
      <c r="B1725" s="29"/>
      <c r="C1725" s="8"/>
      <c r="D1725" s="8"/>
      <c r="E1725" s="9"/>
      <c r="F1725" s="10"/>
    </row>
    <row r="1726" spans="1:6" x14ac:dyDescent="0.25">
      <c r="A1726" s="6"/>
      <c r="B1726" s="29"/>
      <c r="C1726" s="8"/>
      <c r="D1726" s="8"/>
      <c r="E1726" s="9"/>
      <c r="F1726" s="10"/>
    </row>
    <row r="1727" spans="1:6" x14ac:dyDescent="0.25">
      <c r="A1727" s="6"/>
      <c r="B1727" s="29"/>
      <c r="C1727" s="8"/>
      <c r="D1727" s="8"/>
      <c r="E1727" s="9"/>
      <c r="F1727" s="10"/>
    </row>
    <row r="1728" spans="1:6" x14ac:dyDescent="0.25">
      <c r="A1728" s="6"/>
      <c r="B1728" s="29"/>
      <c r="C1728" s="8"/>
      <c r="D1728" s="8"/>
      <c r="E1728" s="9"/>
      <c r="F1728" s="10"/>
    </row>
    <row r="1729" spans="1:6" ht="15.75" thickBot="1" x14ac:dyDescent="0.3">
      <c r="A1729" s="30"/>
      <c r="B1729" s="31"/>
      <c r="C1729" s="32"/>
      <c r="D1729" s="32"/>
      <c r="E1729" s="32"/>
      <c r="F1729" s="34"/>
    </row>
    <row r="1730" spans="1:6" x14ac:dyDescent="0.25">
      <c r="A1730" s="112"/>
      <c r="B1730" s="2"/>
      <c r="C1730" s="3"/>
      <c r="D1730" s="3"/>
      <c r="E1730" s="4"/>
      <c r="F1730" s="5"/>
    </row>
    <row r="1731" spans="1:6" x14ac:dyDescent="0.25">
      <c r="A1731" s="6"/>
      <c r="B1731" s="11"/>
      <c r="C1731" s="8"/>
      <c r="D1731" s="8"/>
      <c r="E1731" s="9"/>
      <c r="F1731" s="47"/>
    </row>
    <row r="1732" spans="1:6" x14ac:dyDescent="0.25">
      <c r="A1732" s="6"/>
      <c r="B1732" s="48"/>
      <c r="C1732" s="49"/>
      <c r="D1732" s="8"/>
      <c r="E1732" s="9"/>
      <c r="F1732" s="47"/>
    </row>
    <row r="1733" spans="1:6" x14ac:dyDescent="0.25">
      <c r="A1733" s="6"/>
      <c r="B1733" s="11"/>
      <c r="C1733" s="8"/>
      <c r="D1733" s="8"/>
      <c r="E1733" s="9"/>
      <c r="F1733" s="47"/>
    </row>
    <row r="1734" spans="1:6" x14ac:dyDescent="0.25">
      <c r="A1734" s="50"/>
      <c r="B1734" s="51"/>
      <c r="C1734" s="8"/>
      <c r="D1734" s="8"/>
      <c r="E1734" s="9"/>
      <c r="F1734" s="47"/>
    </row>
    <row r="1735" spans="1:6" x14ac:dyDescent="0.25">
      <c r="A1735" s="52"/>
      <c r="B1735" s="53"/>
      <c r="C1735" s="8"/>
      <c r="D1735" s="8"/>
      <c r="E1735" s="9"/>
      <c r="F1735" s="47"/>
    </row>
    <row r="1736" spans="1:6" x14ac:dyDescent="0.25">
      <c r="A1736" s="50"/>
      <c r="B1736" s="51"/>
      <c r="C1736" s="8"/>
      <c r="D1736" s="8"/>
      <c r="E1736" s="9"/>
      <c r="F1736" s="47"/>
    </row>
    <row r="1737" spans="1:6" ht="15.75" thickBot="1" x14ac:dyDescent="0.3">
      <c r="A1737" s="50"/>
      <c r="B1737" s="51"/>
      <c r="C1737" s="8"/>
      <c r="D1737" s="8"/>
      <c r="E1737" s="9"/>
      <c r="F1737" s="47"/>
    </row>
    <row r="1738" spans="1:6" ht="15.75" thickBot="1" x14ac:dyDescent="0.3">
      <c r="A1738" s="54"/>
      <c r="B1738" s="55"/>
      <c r="C1738" s="56"/>
      <c r="D1738" s="56"/>
      <c r="E1738" s="456"/>
      <c r="F1738" s="457"/>
    </row>
    <row r="1739" spans="1:6" x14ac:dyDescent="0.25">
      <c r="A1739" s="113"/>
      <c r="B1739" s="114"/>
      <c r="C1739" s="113"/>
      <c r="D1739" s="113"/>
      <c r="E1739" s="113"/>
      <c r="F1739" s="115"/>
    </row>
    <row r="1740" spans="1:6" x14ac:dyDescent="0.25">
      <c r="A1740" s="69"/>
      <c r="B1740" s="116"/>
      <c r="C1740" s="69"/>
      <c r="D1740" s="69"/>
      <c r="E1740" s="69"/>
      <c r="F1740" s="71"/>
    </row>
    <row r="1741" spans="1:6" x14ac:dyDescent="0.25">
      <c r="A1741" s="69"/>
      <c r="B1741" s="116"/>
      <c r="C1741" s="69"/>
      <c r="D1741" s="69"/>
      <c r="E1741" s="69"/>
      <c r="F1741" s="71"/>
    </row>
    <row r="1742" spans="1:6" x14ac:dyDescent="0.25">
      <c r="A1742" s="69"/>
      <c r="B1742" s="116"/>
      <c r="C1742" s="69"/>
      <c r="D1742" s="69"/>
      <c r="E1742" s="69"/>
      <c r="F1742" s="71"/>
    </row>
    <row r="1743" spans="1:6" x14ac:dyDescent="0.25">
      <c r="A1743" s="69"/>
      <c r="B1743" s="116"/>
      <c r="C1743" s="69"/>
      <c r="D1743" s="69"/>
      <c r="E1743" s="69"/>
      <c r="F1743" s="71"/>
    </row>
    <row r="1744" spans="1:6" x14ac:dyDescent="0.25">
      <c r="A1744" s="69"/>
      <c r="B1744" s="116"/>
      <c r="C1744" s="69"/>
      <c r="D1744" s="69"/>
      <c r="E1744" s="69"/>
      <c r="F1744" s="71"/>
    </row>
    <row r="1745" spans="1:6" x14ac:dyDescent="0.25">
      <c r="A1745" s="69"/>
      <c r="B1745" s="116"/>
      <c r="C1745" s="69"/>
      <c r="D1745" s="69"/>
      <c r="E1745" s="69"/>
      <c r="F1745" s="71"/>
    </row>
    <row r="1746" spans="1:6" x14ac:dyDescent="0.25">
      <c r="A1746" s="69"/>
      <c r="B1746" s="116"/>
      <c r="C1746" s="69"/>
      <c r="D1746" s="69"/>
      <c r="E1746" s="69"/>
      <c r="F1746" s="71"/>
    </row>
    <row r="1747" spans="1:6" x14ac:dyDescent="0.25">
      <c r="A1747" s="69"/>
      <c r="B1747" s="116"/>
      <c r="C1747" s="69"/>
      <c r="D1747" s="69"/>
      <c r="E1747" s="69"/>
      <c r="F1747" s="71"/>
    </row>
    <row r="1748" spans="1:6" x14ac:dyDescent="0.25">
      <c r="A1748" s="69"/>
      <c r="B1748" s="116"/>
      <c r="C1748" s="69"/>
      <c r="D1748" s="69"/>
      <c r="E1748" s="69"/>
      <c r="F1748" s="71"/>
    </row>
    <row r="1749" spans="1:6" x14ac:dyDescent="0.25">
      <c r="A1749" s="69"/>
      <c r="B1749" s="116"/>
      <c r="C1749" s="69"/>
      <c r="D1749" s="69"/>
      <c r="E1749" s="69"/>
      <c r="F1749" s="71"/>
    </row>
    <row r="1750" spans="1:6" x14ac:dyDescent="0.25">
      <c r="A1750" s="69"/>
      <c r="B1750" s="116"/>
      <c r="C1750" s="69"/>
      <c r="D1750" s="69"/>
      <c r="E1750" s="69"/>
      <c r="F1750" s="71"/>
    </row>
    <row r="1751" spans="1:6" x14ac:dyDescent="0.25">
      <c r="A1751" s="69"/>
      <c r="B1751" s="116"/>
      <c r="C1751" s="69"/>
      <c r="D1751" s="69"/>
      <c r="E1751" s="69"/>
      <c r="F1751" s="71"/>
    </row>
    <row r="1752" spans="1:6" x14ac:dyDescent="0.25">
      <c r="A1752" s="69"/>
      <c r="B1752" s="116"/>
      <c r="C1752" s="69"/>
      <c r="D1752" s="69"/>
      <c r="E1752" s="69"/>
      <c r="F1752" s="71"/>
    </row>
    <row r="1753" spans="1:6" x14ac:dyDescent="0.25">
      <c r="A1753" s="69"/>
      <c r="B1753" s="116"/>
      <c r="C1753" s="69"/>
      <c r="D1753" s="69"/>
      <c r="E1753" s="69"/>
      <c r="F1753" s="71"/>
    </row>
    <row r="1754" spans="1:6" x14ac:dyDescent="0.25">
      <c r="A1754" s="69"/>
      <c r="B1754" s="116"/>
      <c r="C1754" s="69"/>
      <c r="D1754" s="69"/>
      <c r="E1754" s="69"/>
      <c r="F1754" s="71"/>
    </row>
    <row r="1755" spans="1:6" x14ac:dyDescent="0.25">
      <c r="A1755" s="69"/>
      <c r="B1755" s="116"/>
      <c r="C1755" s="69"/>
      <c r="D1755" s="69"/>
      <c r="E1755" s="69"/>
      <c r="F1755" s="71"/>
    </row>
    <row r="1756" spans="1:6" x14ac:dyDescent="0.25">
      <c r="A1756" s="69"/>
      <c r="B1756" s="116"/>
      <c r="C1756" s="69"/>
      <c r="D1756" s="69"/>
      <c r="E1756" s="69"/>
      <c r="F1756" s="71"/>
    </row>
    <row r="1757" spans="1:6" x14ac:dyDescent="0.25">
      <c r="A1757" s="69"/>
      <c r="B1757" s="116"/>
      <c r="C1757" s="69"/>
      <c r="D1757" s="69"/>
      <c r="E1757" s="69"/>
      <c r="F1757" s="71"/>
    </row>
    <row r="1758" spans="1:6" x14ac:dyDescent="0.25">
      <c r="A1758" s="69"/>
      <c r="B1758" s="116"/>
      <c r="C1758" s="69"/>
      <c r="D1758" s="69"/>
      <c r="E1758" s="69"/>
      <c r="F1758" s="71"/>
    </row>
    <row r="1759" spans="1:6" x14ac:dyDescent="0.25">
      <c r="A1759" s="69"/>
      <c r="B1759" s="116"/>
      <c r="C1759" s="69"/>
      <c r="D1759" s="69"/>
      <c r="E1759" s="69"/>
      <c r="F1759" s="71"/>
    </row>
    <row r="1760" spans="1:6" x14ac:dyDescent="0.25">
      <c r="A1760" s="69"/>
      <c r="B1760" s="116"/>
      <c r="C1760" s="69"/>
      <c r="D1760" s="69"/>
      <c r="E1760" s="69"/>
      <c r="F1760" s="71"/>
    </row>
    <row r="1761" spans="1:6" x14ac:dyDescent="0.25">
      <c r="A1761" s="69"/>
      <c r="B1761" s="116"/>
      <c r="C1761" s="69"/>
      <c r="D1761" s="69"/>
      <c r="E1761" s="69"/>
      <c r="F1761" s="71"/>
    </row>
    <row r="1762" spans="1:6" x14ac:dyDescent="0.25">
      <c r="A1762" s="69"/>
      <c r="B1762" s="116"/>
      <c r="C1762" s="69"/>
      <c r="D1762" s="69"/>
      <c r="E1762" s="69"/>
      <c r="F1762" s="71"/>
    </row>
    <row r="1763" spans="1:6" x14ac:dyDescent="0.25">
      <c r="A1763" s="69"/>
      <c r="B1763" s="116"/>
      <c r="C1763" s="69"/>
      <c r="D1763" s="69"/>
      <c r="E1763" s="69"/>
      <c r="F1763" s="71"/>
    </row>
    <row r="1764" spans="1:6" x14ac:dyDescent="0.25">
      <c r="A1764" s="69"/>
      <c r="B1764" s="116"/>
      <c r="C1764" s="69"/>
      <c r="D1764" s="69"/>
      <c r="E1764" s="69"/>
      <c r="F1764" s="71"/>
    </row>
    <row r="1765" spans="1:6" x14ac:dyDescent="0.25">
      <c r="A1765" s="69"/>
      <c r="B1765" s="116"/>
      <c r="C1765" s="69"/>
      <c r="D1765" s="69"/>
      <c r="E1765" s="69"/>
      <c r="F1765" s="71"/>
    </row>
    <row r="1766" spans="1:6" x14ac:dyDescent="0.25">
      <c r="A1766" s="69"/>
      <c r="B1766" s="116"/>
      <c r="C1766" s="69"/>
      <c r="D1766" s="69"/>
      <c r="E1766" s="69"/>
      <c r="F1766" s="71"/>
    </row>
    <row r="1767" spans="1:6" x14ac:dyDescent="0.25">
      <c r="A1767" s="69"/>
      <c r="B1767" s="116"/>
      <c r="C1767" s="69"/>
      <c r="D1767" s="69"/>
      <c r="E1767" s="69"/>
      <c r="F1767" s="71"/>
    </row>
    <row r="1768" spans="1:6" x14ac:dyDescent="0.25">
      <c r="A1768" s="69"/>
      <c r="B1768" s="116"/>
      <c r="C1768" s="69"/>
      <c r="D1768" s="69"/>
      <c r="E1768" s="69"/>
      <c r="F1768" s="71"/>
    </row>
    <row r="1769" spans="1:6" x14ac:dyDescent="0.25">
      <c r="A1769" s="69"/>
      <c r="B1769" s="116"/>
      <c r="C1769" s="69"/>
      <c r="D1769" s="69"/>
      <c r="E1769" s="69"/>
      <c r="F1769" s="71"/>
    </row>
    <row r="1770" spans="1:6" x14ac:dyDescent="0.25">
      <c r="A1770" s="69"/>
      <c r="B1770" s="116"/>
      <c r="C1770" s="69"/>
      <c r="D1770" s="69"/>
      <c r="E1770" s="69"/>
      <c r="F1770" s="71"/>
    </row>
    <row r="1771" spans="1:6" x14ac:dyDescent="0.25">
      <c r="A1771" s="69"/>
      <c r="B1771" s="116"/>
      <c r="C1771" s="69"/>
      <c r="D1771" s="69"/>
      <c r="E1771" s="69"/>
      <c r="F1771" s="71"/>
    </row>
    <row r="1772" spans="1:6" x14ac:dyDescent="0.25">
      <c r="A1772" s="69"/>
      <c r="B1772" s="116"/>
      <c r="C1772" s="69"/>
      <c r="D1772" s="69"/>
      <c r="E1772" s="69"/>
      <c r="F1772" s="71"/>
    </row>
    <row r="1773" spans="1:6" x14ac:dyDescent="0.25">
      <c r="A1773" s="69"/>
      <c r="B1773" s="116"/>
      <c r="C1773" s="69"/>
      <c r="D1773" s="69"/>
      <c r="E1773" s="69"/>
      <c r="F1773" s="71"/>
    </row>
    <row r="1774" spans="1:6" x14ac:dyDescent="0.25">
      <c r="A1774" s="69"/>
      <c r="B1774" s="116"/>
      <c r="C1774" s="69"/>
      <c r="D1774" s="69"/>
      <c r="E1774" s="69"/>
      <c r="F1774" s="71"/>
    </row>
    <row r="1775" spans="1:6" x14ac:dyDescent="0.25">
      <c r="A1775" s="69"/>
      <c r="B1775" s="116"/>
      <c r="C1775" s="69"/>
      <c r="D1775" s="69"/>
      <c r="E1775" s="69"/>
      <c r="F1775" s="71"/>
    </row>
    <row r="2369" spans="2:7" s="42" customFormat="1" ht="15.75" customHeight="1" x14ac:dyDescent="0.25">
      <c r="B2369" s="79"/>
      <c r="C2369" s="40"/>
      <c r="D2369" s="40"/>
      <c r="E2369" s="40"/>
      <c r="F2369" s="41"/>
      <c r="G2369"/>
    </row>
    <row r="2443" spans="1:7" s="118" customFormat="1" ht="12.75" x14ac:dyDescent="0.2">
      <c r="A2443" s="42"/>
      <c r="B2443" s="79"/>
      <c r="C2443" s="40"/>
      <c r="D2443" s="40"/>
      <c r="E2443" s="40"/>
      <c r="F2443" s="41"/>
      <c r="G2443" s="117"/>
    </row>
    <row r="2445" spans="1:7" s="118" customFormat="1" ht="12.75" x14ac:dyDescent="0.2">
      <c r="A2445" s="42"/>
      <c r="B2445" s="79"/>
      <c r="C2445" s="40"/>
      <c r="D2445" s="40"/>
      <c r="E2445" s="40"/>
      <c r="F2445" s="41"/>
      <c r="G2445" s="117"/>
    </row>
    <row r="2446" spans="1:7" s="118" customFormat="1" ht="12.75" x14ac:dyDescent="0.2">
      <c r="A2446" s="42"/>
      <c r="B2446" s="79"/>
      <c r="C2446" s="40"/>
      <c r="D2446" s="40"/>
      <c r="E2446" s="40"/>
      <c r="F2446" s="41"/>
      <c r="G2446" s="117"/>
    </row>
    <row r="2447" spans="1:7" s="118" customFormat="1" ht="12.75" x14ac:dyDescent="0.2">
      <c r="A2447" s="42"/>
      <c r="B2447" s="79"/>
      <c r="C2447" s="40"/>
      <c r="D2447" s="40"/>
      <c r="E2447" s="40"/>
      <c r="F2447" s="41"/>
      <c r="G2447" s="117"/>
    </row>
    <row r="2448" spans="1:7" s="118" customFormat="1" ht="12.75" x14ac:dyDescent="0.2">
      <c r="A2448" s="42"/>
      <c r="B2448" s="79"/>
      <c r="C2448" s="40"/>
      <c r="D2448" s="40"/>
      <c r="E2448" s="40"/>
      <c r="F2448" s="41"/>
      <c r="G2448" s="117"/>
    </row>
    <row r="2449" spans="1:7" s="118" customFormat="1" ht="12.75" x14ac:dyDescent="0.2">
      <c r="A2449" s="42"/>
      <c r="B2449" s="79"/>
      <c r="C2449" s="40"/>
      <c r="D2449" s="40"/>
      <c r="E2449" s="40"/>
      <c r="F2449" s="41"/>
      <c r="G2449" s="117"/>
    </row>
    <row r="2450" spans="1:7" s="118" customFormat="1" ht="12.75" x14ac:dyDescent="0.2">
      <c r="A2450" s="42"/>
      <c r="B2450" s="79"/>
      <c r="C2450" s="40"/>
      <c r="D2450" s="40"/>
      <c r="E2450" s="40"/>
      <c r="F2450" s="41"/>
      <c r="G2450" s="117"/>
    </row>
    <row r="2451" spans="1:7" s="118" customFormat="1" ht="12.75" x14ac:dyDescent="0.2">
      <c r="A2451" s="42"/>
      <c r="B2451" s="79"/>
      <c r="C2451" s="40"/>
      <c r="D2451" s="40"/>
      <c r="E2451" s="40"/>
      <c r="F2451" s="41"/>
      <c r="G2451" s="117"/>
    </row>
    <row r="2452" spans="1:7" s="118" customFormat="1" ht="12.75" x14ac:dyDescent="0.2">
      <c r="A2452" s="42"/>
      <c r="B2452" s="79"/>
      <c r="C2452" s="40"/>
      <c r="D2452" s="40"/>
      <c r="E2452" s="40"/>
      <c r="F2452" s="41"/>
      <c r="G2452" s="117"/>
    </row>
    <row r="2453" spans="1:7" s="118" customFormat="1" ht="12.75" x14ac:dyDescent="0.2">
      <c r="A2453" s="42"/>
      <c r="B2453" s="79"/>
      <c r="C2453" s="40"/>
      <c r="D2453" s="40"/>
      <c r="E2453" s="40"/>
      <c r="F2453" s="41"/>
      <c r="G2453" s="117"/>
    </row>
    <row r="2454" spans="1:7" s="118" customFormat="1" ht="12.75" x14ac:dyDescent="0.2">
      <c r="A2454" s="42"/>
      <c r="B2454" s="79"/>
      <c r="C2454" s="40"/>
      <c r="D2454" s="40"/>
      <c r="E2454" s="40"/>
      <c r="F2454" s="41"/>
      <c r="G2454" s="117"/>
    </row>
    <row r="2455" spans="1:7" s="118" customFormat="1" ht="12.75" x14ac:dyDescent="0.2">
      <c r="A2455" s="42"/>
      <c r="B2455" s="79"/>
      <c r="C2455" s="40"/>
      <c r="D2455" s="40"/>
      <c r="E2455" s="40"/>
      <c r="F2455" s="41"/>
      <c r="G2455" s="117"/>
    </row>
    <row r="2456" spans="1:7" s="118" customFormat="1" ht="12.75" x14ac:dyDescent="0.2">
      <c r="A2456" s="42"/>
      <c r="B2456" s="79"/>
      <c r="C2456" s="40"/>
      <c r="D2456" s="40"/>
      <c r="E2456" s="40"/>
      <c r="F2456" s="41"/>
      <c r="G2456" s="117"/>
    </row>
    <row r="2457" spans="1:7" s="118" customFormat="1" ht="12.75" x14ac:dyDescent="0.2">
      <c r="A2457" s="42"/>
      <c r="B2457" s="79"/>
      <c r="C2457" s="40"/>
      <c r="D2457" s="40"/>
      <c r="E2457" s="40"/>
      <c r="F2457" s="41"/>
      <c r="G2457" s="117"/>
    </row>
    <row r="2458" spans="1:7" s="118" customFormat="1" ht="12.75" x14ac:dyDescent="0.2">
      <c r="A2458" s="42"/>
      <c r="B2458" s="79"/>
      <c r="C2458" s="40"/>
      <c r="D2458" s="40"/>
      <c r="E2458" s="40"/>
      <c r="F2458" s="41"/>
      <c r="G2458" s="117"/>
    </row>
    <row r="2459" spans="1:7" s="118" customFormat="1" ht="12.75" x14ac:dyDescent="0.2">
      <c r="A2459" s="42"/>
      <c r="B2459" s="79"/>
      <c r="C2459" s="40"/>
      <c r="D2459" s="40"/>
      <c r="E2459" s="40"/>
      <c r="F2459" s="41"/>
      <c r="G2459" s="117"/>
    </row>
    <row r="2460" spans="1:7" s="118" customFormat="1" ht="12.75" x14ac:dyDescent="0.2">
      <c r="A2460" s="42"/>
      <c r="B2460" s="79"/>
      <c r="C2460" s="40"/>
      <c r="D2460" s="40"/>
      <c r="E2460" s="40"/>
      <c r="F2460" s="41"/>
      <c r="G2460" s="117"/>
    </row>
    <row r="2461" spans="1:7" s="118" customFormat="1" ht="12.75" x14ac:dyDescent="0.2">
      <c r="A2461" s="42"/>
      <c r="B2461" s="79"/>
      <c r="C2461" s="40"/>
      <c r="D2461" s="40"/>
      <c r="E2461" s="40"/>
      <c r="F2461" s="41"/>
      <c r="G2461" s="117"/>
    </row>
    <row r="2462" spans="1:7" s="118" customFormat="1" ht="12.75" x14ac:dyDescent="0.2">
      <c r="A2462" s="42"/>
      <c r="B2462" s="79"/>
      <c r="C2462" s="40"/>
      <c r="D2462" s="40"/>
      <c r="E2462" s="40"/>
      <c r="F2462" s="41"/>
      <c r="G2462" s="117"/>
    </row>
    <row r="2463" spans="1:7" s="118" customFormat="1" ht="12.75" x14ac:dyDescent="0.2">
      <c r="A2463" s="42"/>
      <c r="B2463" s="79"/>
      <c r="C2463" s="40"/>
      <c r="D2463" s="40"/>
      <c r="E2463" s="40"/>
      <c r="F2463" s="41"/>
      <c r="G2463" s="117"/>
    </row>
    <row r="2464" spans="1:7" s="118" customFormat="1" ht="12.75" x14ac:dyDescent="0.2">
      <c r="A2464" s="42"/>
      <c r="B2464" s="79"/>
      <c r="C2464" s="40"/>
      <c r="D2464" s="40"/>
      <c r="E2464" s="40"/>
      <c r="F2464" s="41"/>
      <c r="G2464" s="117"/>
    </row>
    <row r="2465" spans="1:7" s="118" customFormat="1" ht="12.75" x14ac:dyDescent="0.2">
      <c r="A2465" s="42"/>
      <c r="B2465" s="79"/>
      <c r="C2465" s="40"/>
      <c r="D2465" s="40"/>
      <c r="E2465" s="40"/>
      <c r="F2465" s="41"/>
      <c r="G2465" s="117"/>
    </row>
    <row r="2466" spans="1:7" s="118" customFormat="1" ht="12.75" x14ac:dyDescent="0.2">
      <c r="A2466" s="42"/>
      <c r="B2466" s="79"/>
      <c r="C2466" s="40"/>
      <c r="D2466" s="40"/>
      <c r="E2466" s="40"/>
      <c r="F2466" s="41"/>
      <c r="G2466" s="117"/>
    </row>
    <row r="2467" spans="1:7" s="118" customFormat="1" ht="12.75" x14ac:dyDescent="0.2">
      <c r="A2467" s="42"/>
      <c r="B2467" s="79"/>
      <c r="C2467" s="40"/>
      <c r="D2467" s="40"/>
      <c r="E2467" s="40"/>
      <c r="F2467" s="41"/>
      <c r="G2467" s="117"/>
    </row>
    <row r="2468" spans="1:7" s="118" customFormat="1" ht="12.75" x14ac:dyDescent="0.2">
      <c r="A2468" s="42"/>
      <c r="B2468" s="79"/>
      <c r="C2468" s="40"/>
      <c r="D2468" s="40"/>
      <c r="E2468" s="40"/>
      <c r="F2468" s="41"/>
      <c r="G2468" s="117"/>
    </row>
    <row r="2469" spans="1:7" s="118" customFormat="1" ht="12.75" x14ac:dyDescent="0.2">
      <c r="A2469" s="42"/>
      <c r="B2469" s="79"/>
      <c r="C2469" s="40"/>
      <c r="D2469" s="40"/>
      <c r="E2469" s="40"/>
      <c r="F2469" s="41"/>
      <c r="G2469" s="117"/>
    </row>
    <row r="2470" spans="1:7" s="118" customFormat="1" ht="12.75" x14ac:dyDescent="0.2">
      <c r="A2470" s="42"/>
      <c r="B2470" s="79"/>
      <c r="C2470" s="40"/>
      <c r="D2470" s="40"/>
      <c r="E2470" s="40"/>
      <c r="F2470" s="41"/>
      <c r="G2470" s="117"/>
    </row>
    <row r="2471" spans="1:7" s="118" customFormat="1" ht="12.75" x14ac:dyDescent="0.2">
      <c r="A2471" s="42"/>
      <c r="B2471" s="79"/>
      <c r="C2471" s="40"/>
      <c r="D2471" s="40"/>
      <c r="E2471" s="40"/>
      <c r="F2471" s="41"/>
      <c r="G2471" s="117"/>
    </row>
    <row r="2472" spans="1:7" s="118" customFormat="1" ht="12.75" x14ac:dyDescent="0.2">
      <c r="A2472" s="42"/>
      <c r="B2472" s="79"/>
      <c r="C2472" s="40"/>
      <c r="D2472" s="40"/>
      <c r="E2472" s="40"/>
      <c r="F2472" s="41"/>
      <c r="G2472" s="117"/>
    </row>
    <row r="2473" spans="1:7" s="118" customFormat="1" ht="12.75" x14ac:dyDescent="0.2">
      <c r="A2473" s="42"/>
      <c r="B2473" s="79"/>
      <c r="C2473" s="40"/>
      <c r="D2473" s="40"/>
      <c r="E2473" s="40"/>
      <c r="F2473" s="41"/>
      <c r="G2473" s="117"/>
    </row>
    <row r="2474" spans="1:7" s="118" customFormat="1" ht="12.75" x14ac:dyDescent="0.2">
      <c r="A2474" s="42"/>
      <c r="B2474" s="79"/>
      <c r="C2474" s="40"/>
      <c r="D2474" s="40"/>
      <c r="E2474" s="40"/>
      <c r="F2474" s="41"/>
      <c r="G2474" s="117"/>
    </row>
    <row r="2556" spans="1:7" s="99" customFormat="1" ht="12.75" x14ac:dyDescent="0.2">
      <c r="A2556" s="42"/>
      <c r="B2556" s="79"/>
      <c r="C2556" s="40"/>
      <c r="D2556" s="40"/>
      <c r="E2556" s="40"/>
      <c r="F2556" s="41"/>
      <c r="G2556" s="98"/>
    </row>
    <row r="2557" spans="1:7" s="99" customFormat="1" ht="12.75" x14ac:dyDescent="0.2">
      <c r="A2557" s="42"/>
      <c r="B2557" s="79"/>
      <c r="C2557" s="40"/>
      <c r="D2557" s="40"/>
      <c r="E2557" s="40"/>
      <c r="F2557" s="41"/>
      <c r="G2557" s="98"/>
    </row>
    <row r="2559" spans="1:7" s="99" customFormat="1" ht="12.75" x14ac:dyDescent="0.2">
      <c r="A2559" s="42"/>
      <c r="B2559" s="79"/>
      <c r="C2559" s="40"/>
      <c r="D2559" s="40"/>
      <c r="E2559" s="40"/>
      <c r="F2559" s="41"/>
      <c r="G2559" s="98"/>
    </row>
    <row r="2560" spans="1:7" s="99" customFormat="1" ht="12.75" x14ac:dyDescent="0.2">
      <c r="A2560" s="42"/>
      <c r="B2560" s="79"/>
      <c r="C2560" s="40"/>
      <c r="D2560" s="40"/>
      <c r="E2560" s="40"/>
      <c r="F2560" s="41"/>
      <c r="G2560" s="98"/>
    </row>
    <row r="2561" spans="1:7" s="99" customFormat="1" ht="12.75" x14ac:dyDescent="0.2">
      <c r="A2561" s="42"/>
      <c r="B2561" s="79"/>
      <c r="C2561" s="40"/>
      <c r="D2561" s="40"/>
      <c r="E2561" s="40"/>
      <c r="F2561" s="41"/>
      <c r="G2561" s="98"/>
    </row>
    <row r="2562" spans="1:7" s="99" customFormat="1" ht="12.75" x14ac:dyDescent="0.2">
      <c r="A2562" s="42"/>
      <c r="B2562" s="79"/>
      <c r="C2562" s="40"/>
      <c r="D2562" s="40"/>
      <c r="E2562" s="40"/>
      <c r="F2562" s="41"/>
      <c r="G2562" s="98"/>
    </row>
    <row r="2563" spans="1:7" s="99" customFormat="1" ht="12.75" x14ac:dyDescent="0.2">
      <c r="A2563" s="42"/>
      <c r="B2563" s="79"/>
      <c r="C2563" s="40"/>
      <c r="D2563" s="40"/>
      <c r="E2563" s="40"/>
      <c r="F2563" s="41"/>
      <c r="G2563" s="98"/>
    </row>
    <row r="2564" spans="1:7" s="99" customFormat="1" ht="12.75" x14ac:dyDescent="0.2">
      <c r="A2564" s="42"/>
      <c r="B2564" s="79"/>
      <c r="C2564" s="40"/>
      <c r="D2564" s="40"/>
      <c r="E2564" s="40"/>
      <c r="F2564" s="41"/>
      <c r="G2564" s="98"/>
    </row>
    <row r="2565" spans="1:7" s="99" customFormat="1" ht="12.75" x14ac:dyDescent="0.2">
      <c r="A2565" s="42"/>
      <c r="B2565" s="79"/>
      <c r="C2565" s="40"/>
      <c r="D2565" s="40"/>
      <c r="E2565" s="40"/>
      <c r="F2565" s="41"/>
      <c r="G2565" s="98"/>
    </row>
    <row r="2566" spans="1:7" s="99" customFormat="1" ht="12.75" x14ac:dyDescent="0.2">
      <c r="A2566" s="42"/>
      <c r="B2566" s="79"/>
      <c r="C2566" s="40"/>
      <c r="D2566" s="40"/>
      <c r="E2566" s="40"/>
      <c r="F2566" s="41"/>
      <c r="G2566" s="98"/>
    </row>
    <row r="2567" spans="1:7" s="99" customFormat="1" ht="12.75" x14ac:dyDescent="0.2">
      <c r="A2567" s="42"/>
      <c r="B2567" s="79"/>
      <c r="C2567" s="40"/>
      <c r="D2567" s="40"/>
      <c r="E2567" s="40"/>
      <c r="F2567" s="41"/>
      <c r="G2567" s="98"/>
    </row>
    <row r="2568" spans="1:7" s="99" customFormat="1" ht="12.75" x14ac:dyDescent="0.2">
      <c r="A2568" s="42"/>
      <c r="B2568" s="79"/>
      <c r="C2568" s="40"/>
      <c r="D2568" s="40"/>
      <c r="E2568" s="40"/>
      <c r="F2568" s="41"/>
      <c r="G2568" s="98"/>
    </row>
    <row r="2569" spans="1:7" s="99" customFormat="1" ht="12.75" x14ac:dyDescent="0.2">
      <c r="A2569" s="42"/>
      <c r="B2569" s="79"/>
      <c r="C2569" s="40"/>
      <c r="D2569" s="40"/>
      <c r="E2569" s="40"/>
      <c r="F2569" s="41"/>
      <c r="G2569" s="98"/>
    </row>
    <row r="2570" spans="1:7" s="99" customFormat="1" ht="12.75" x14ac:dyDescent="0.2">
      <c r="A2570" s="42"/>
      <c r="B2570" s="79"/>
      <c r="C2570" s="40"/>
      <c r="D2570" s="40"/>
      <c r="E2570" s="40"/>
      <c r="F2570" s="41"/>
      <c r="G2570" s="98"/>
    </row>
    <row r="2571" spans="1:7" s="99" customFormat="1" ht="12.75" x14ac:dyDescent="0.2">
      <c r="A2571" s="42"/>
      <c r="B2571" s="79"/>
      <c r="C2571" s="40"/>
      <c r="D2571" s="40"/>
      <c r="E2571" s="40"/>
      <c r="F2571" s="41"/>
      <c r="G2571" s="98"/>
    </row>
    <row r="2572" spans="1:7" s="99" customFormat="1" ht="12.75" x14ac:dyDescent="0.2">
      <c r="A2572" s="42"/>
      <c r="B2572" s="79"/>
      <c r="C2572" s="40"/>
      <c r="D2572" s="40"/>
      <c r="E2572" s="40"/>
      <c r="F2572" s="41"/>
      <c r="G2572" s="98"/>
    </row>
    <row r="2573" spans="1:7" s="99" customFormat="1" ht="12.75" x14ac:dyDescent="0.2">
      <c r="A2573" s="42"/>
      <c r="B2573" s="79"/>
      <c r="C2573" s="40"/>
      <c r="D2573" s="40"/>
      <c r="E2573" s="40"/>
      <c r="F2573" s="41"/>
      <c r="G2573" s="98"/>
    </row>
    <row r="2574" spans="1:7" s="99" customFormat="1" ht="12.75" x14ac:dyDescent="0.2">
      <c r="A2574" s="42"/>
      <c r="B2574" s="79"/>
      <c r="C2574" s="40"/>
      <c r="D2574" s="40"/>
      <c r="E2574" s="40"/>
      <c r="F2574" s="41"/>
      <c r="G2574" s="98"/>
    </row>
    <row r="2575" spans="1:7" s="99" customFormat="1" ht="12.75" x14ac:dyDescent="0.2">
      <c r="A2575" s="42"/>
      <c r="B2575" s="79"/>
      <c r="C2575" s="40"/>
      <c r="D2575" s="40"/>
      <c r="E2575" s="40"/>
      <c r="F2575" s="41"/>
      <c r="G2575" s="98"/>
    </row>
    <row r="2576" spans="1:7" s="99" customFormat="1" ht="12.75" x14ac:dyDescent="0.2">
      <c r="A2576" s="42"/>
      <c r="B2576" s="79"/>
      <c r="C2576" s="40"/>
      <c r="D2576" s="40"/>
      <c r="E2576" s="40"/>
      <c r="F2576" s="41"/>
      <c r="G2576" s="98"/>
    </row>
    <row r="2577" spans="1:7" s="99" customFormat="1" ht="12.75" x14ac:dyDescent="0.2">
      <c r="A2577" s="42"/>
      <c r="B2577" s="79"/>
      <c r="C2577" s="40"/>
      <c r="D2577" s="40"/>
      <c r="E2577" s="40"/>
      <c r="F2577" s="41"/>
      <c r="G2577" s="98"/>
    </row>
    <row r="2578" spans="1:7" s="99" customFormat="1" ht="12.75" x14ac:dyDescent="0.2">
      <c r="A2578" s="42"/>
      <c r="B2578" s="79"/>
      <c r="C2578" s="40"/>
      <c r="D2578" s="40"/>
      <c r="E2578" s="40"/>
      <c r="F2578" s="41"/>
      <c r="G2578" s="98"/>
    </row>
    <row r="2579" spans="1:7" s="99" customFormat="1" ht="12.75" x14ac:dyDescent="0.2">
      <c r="A2579" s="42"/>
      <c r="B2579" s="79"/>
      <c r="C2579" s="40"/>
      <c r="D2579" s="40"/>
      <c r="E2579" s="40"/>
      <c r="F2579" s="41"/>
      <c r="G2579" s="98"/>
    </row>
    <row r="2580" spans="1:7" s="99" customFormat="1" ht="12.75" x14ac:dyDescent="0.2">
      <c r="A2580" s="42"/>
      <c r="B2580" s="79"/>
      <c r="C2580" s="40"/>
      <c r="D2580" s="40"/>
      <c r="E2580" s="40"/>
      <c r="F2580" s="41"/>
      <c r="G2580" s="98"/>
    </row>
    <row r="2581" spans="1:7" s="99" customFormat="1" ht="12.75" x14ac:dyDescent="0.2">
      <c r="A2581" s="42"/>
      <c r="B2581" s="79"/>
      <c r="C2581" s="40"/>
      <c r="D2581" s="40"/>
      <c r="E2581" s="40"/>
      <c r="F2581" s="41"/>
      <c r="G2581" s="98"/>
    </row>
    <row r="2582" spans="1:7" s="99" customFormat="1" ht="12.75" x14ac:dyDescent="0.2">
      <c r="A2582" s="42"/>
      <c r="B2582" s="79"/>
      <c r="C2582" s="40"/>
      <c r="D2582" s="40"/>
      <c r="E2582" s="40"/>
      <c r="F2582" s="41"/>
      <c r="G2582" s="98"/>
    </row>
    <row r="2583" spans="1:7" s="99" customFormat="1" ht="12.75" x14ac:dyDescent="0.2">
      <c r="A2583" s="42"/>
      <c r="B2583" s="79"/>
      <c r="C2583" s="40"/>
      <c r="D2583" s="40"/>
      <c r="E2583" s="40"/>
      <c r="F2583" s="41"/>
      <c r="G2583" s="98"/>
    </row>
    <row r="2584" spans="1:7" s="99" customFormat="1" ht="12.75" x14ac:dyDescent="0.2">
      <c r="A2584" s="42"/>
      <c r="B2584" s="79"/>
      <c r="C2584" s="40"/>
      <c r="D2584" s="40"/>
      <c r="E2584" s="40"/>
      <c r="F2584" s="41"/>
      <c r="G2584" s="98"/>
    </row>
    <row r="2585" spans="1:7" s="99" customFormat="1" ht="12.75" x14ac:dyDescent="0.2">
      <c r="A2585" s="42"/>
      <c r="B2585" s="79"/>
      <c r="C2585" s="40"/>
      <c r="D2585" s="40"/>
      <c r="E2585" s="40"/>
      <c r="F2585" s="41"/>
      <c r="G2585" s="98"/>
    </row>
    <row r="2586" spans="1:7" s="99" customFormat="1" ht="12.75" x14ac:dyDescent="0.2">
      <c r="A2586" s="42"/>
      <c r="B2586" s="79"/>
      <c r="C2586" s="40"/>
      <c r="D2586" s="40"/>
      <c r="E2586" s="40"/>
      <c r="F2586" s="41"/>
      <c r="G2586" s="98"/>
    </row>
    <row r="2604" spans="1:7" s="99" customFormat="1" ht="12.75" x14ac:dyDescent="0.2">
      <c r="A2604" s="42"/>
      <c r="B2604" s="79"/>
      <c r="C2604" s="40"/>
      <c r="D2604" s="40"/>
      <c r="E2604" s="40"/>
      <c r="F2604" s="41"/>
      <c r="G2604" s="98"/>
    </row>
    <row r="2606" spans="1:7" s="99" customFormat="1" ht="12.75" x14ac:dyDescent="0.2">
      <c r="A2606" s="42"/>
      <c r="B2606" s="79"/>
      <c r="C2606" s="40"/>
      <c r="D2606" s="40"/>
      <c r="E2606" s="40"/>
      <c r="F2606" s="41"/>
      <c r="G2606" s="98"/>
    </row>
    <row r="2607" spans="1:7" s="99" customFormat="1" ht="12.75" x14ac:dyDescent="0.2">
      <c r="A2607" s="42"/>
      <c r="B2607" s="79"/>
      <c r="C2607" s="40"/>
      <c r="D2607" s="40"/>
      <c r="E2607" s="40"/>
      <c r="F2607" s="41"/>
      <c r="G2607" s="98"/>
    </row>
    <row r="2608" spans="1:7" s="99" customFormat="1" ht="12.75" x14ac:dyDescent="0.2">
      <c r="A2608" s="42"/>
      <c r="B2608" s="79"/>
      <c r="C2608" s="40"/>
      <c r="D2608" s="40"/>
      <c r="E2608" s="40"/>
      <c r="F2608" s="41"/>
      <c r="G2608" s="98"/>
    </row>
    <row r="2609" spans="1:7" s="99" customFormat="1" ht="12.75" x14ac:dyDescent="0.2">
      <c r="A2609" s="42"/>
      <c r="B2609" s="79"/>
      <c r="C2609" s="40"/>
      <c r="D2609" s="40"/>
      <c r="E2609" s="40"/>
      <c r="F2609" s="41"/>
      <c r="G2609" s="98"/>
    </row>
    <row r="2610" spans="1:7" s="99" customFormat="1" ht="12.75" x14ac:dyDescent="0.2">
      <c r="A2610" s="42"/>
      <c r="B2610" s="79"/>
      <c r="C2610" s="40"/>
      <c r="D2610" s="40"/>
      <c r="E2610" s="40"/>
      <c r="F2610" s="41"/>
      <c r="G2610" s="98"/>
    </row>
    <row r="2611" spans="1:7" s="99" customFormat="1" ht="12.75" x14ac:dyDescent="0.2">
      <c r="A2611" s="42"/>
      <c r="B2611" s="79"/>
      <c r="C2611" s="40"/>
      <c r="D2611" s="40"/>
      <c r="E2611" s="40"/>
      <c r="F2611" s="41"/>
      <c r="G2611" s="98"/>
    </row>
    <row r="2612" spans="1:7" s="99" customFormat="1" ht="12.75" x14ac:dyDescent="0.2">
      <c r="A2612" s="42"/>
      <c r="B2612" s="79"/>
      <c r="C2612" s="40"/>
      <c r="D2612" s="40"/>
      <c r="E2612" s="40"/>
      <c r="F2612" s="41"/>
      <c r="G2612" s="98"/>
    </row>
    <row r="2613" spans="1:7" s="99" customFormat="1" ht="12.75" x14ac:dyDescent="0.2">
      <c r="A2613" s="42"/>
      <c r="B2613" s="79"/>
      <c r="C2613" s="40"/>
      <c r="D2613" s="40"/>
      <c r="E2613" s="40"/>
      <c r="F2613" s="41"/>
      <c r="G2613" s="98"/>
    </row>
    <row r="2614" spans="1:7" s="99" customFormat="1" ht="12.75" x14ac:dyDescent="0.2">
      <c r="A2614" s="42"/>
      <c r="B2614" s="79"/>
      <c r="C2614" s="40"/>
      <c r="D2614" s="40"/>
      <c r="E2614" s="40"/>
      <c r="F2614" s="41"/>
      <c r="G2614" s="98"/>
    </row>
    <row r="2615" spans="1:7" s="99" customFormat="1" ht="12.75" x14ac:dyDescent="0.2">
      <c r="A2615" s="42"/>
      <c r="B2615" s="79"/>
      <c r="C2615" s="40"/>
      <c r="D2615" s="40"/>
      <c r="E2615" s="40"/>
      <c r="F2615" s="41"/>
      <c r="G2615" s="98"/>
    </row>
    <row r="2616" spans="1:7" s="99" customFormat="1" ht="12.75" x14ac:dyDescent="0.2">
      <c r="A2616" s="42"/>
      <c r="B2616" s="79"/>
      <c r="C2616" s="40"/>
      <c r="D2616" s="40"/>
      <c r="E2616" s="40"/>
      <c r="F2616" s="41"/>
      <c r="G2616" s="98"/>
    </row>
    <row r="2617" spans="1:7" s="99" customFormat="1" ht="12.75" x14ac:dyDescent="0.2">
      <c r="A2617" s="42"/>
      <c r="B2617" s="79"/>
      <c r="C2617" s="40"/>
      <c r="D2617" s="40"/>
      <c r="E2617" s="40"/>
      <c r="F2617" s="41"/>
      <c r="G2617" s="98"/>
    </row>
    <row r="2618" spans="1:7" s="99" customFormat="1" ht="12.75" x14ac:dyDescent="0.2">
      <c r="A2618" s="42"/>
      <c r="B2618" s="79"/>
      <c r="C2618" s="40"/>
      <c r="D2618" s="40"/>
      <c r="E2618" s="40"/>
      <c r="F2618" s="41"/>
      <c r="G2618" s="98"/>
    </row>
    <row r="2651" spans="1:7" s="99" customFormat="1" ht="12.75" x14ac:dyDescent="0.2">
      <c r="A2651" s="42"/>
      <c r="B2651" s="79"/>
      <c r="C2651" s="40"/>
      <c r="D2651" s="40"/>
      <c r="E2651" s="40"/>
      <c r="F2651" s="41"/>
      <c r="G2651" s="98"/>
    </row>
    <row r="2652" spans="1:7" s="99" customFormat="1" ht="12.75" x14ac:dyDescent="0.2">
      <c r="A2652" s="42"/>
      <c r="B2652" s="79"/>
      <c r="C2652" s="40"/>
      <c r="D2652" s="40"/>
      <c r="E2652" s="40"/>
      <c r="F2652" s="41"/>
      <c r="G2652" s="98"/>
    </row>
    <row r="2653" spans="1:7" s="99" customFormat="1" ht="12.75" x14ac:dyDescent="0.2">
      <c r="A2653" s="42"/>
      <c r="B2653" s="79"/>
      <c r="C2653" s="40"/>
      <c r="D2653" s="40"/>
      <c r="E2653" s="40"/>
      <c r="F2653" s="41"/>
      <c r="G2653" s="98"/>
    </row>
    <row r="2655" spans="1:7" s="99" customFormat="1" ht="12.75" x14ac:dyDescent="0.2">
      <c r="A2655" s="42"/>
      <c r="B2655" s="79"/>
      <c r="C2655" s="40"/>
      <c r="D2655" s="40"/>
      <c r="E2655" s="40"/>
      <c r="F2655" s="41"/>
      <c r="G2655" s="98"/>
    </row>
    <row r="2656" spans="1:7" s="99" customFormat="1" ht="12.75" x14ac:dyDescent="0.2">
      <c r="A2656" s="42"/>
      <c r="B2656" s="79"/>
      <c r="C2656" s="40"/>
      <c r="D2656" s="40"/>
      <c r="E2656" s="40"/>
      <c r="F2656" s="41"/>
      <c r="G2656" s="98"/>
    </row>
    <row r="2657" spans="1:7" s="99" customFormat="1" ht="12.75" x14ac:dyDescent="0.2">
      <c r="A2657" s="42"/>
      <c r="B2657" s="79"/>
      <c r="C2657" s="40"/>
      <c r="D2657" s="40"/>
      <c r="E2657" s="40"/>
      <c r="F2657" s="41"/>
      <c r="G2657" s="98"/>
    </row>
    <row r="2658" spans="1:7" s="99" customFormat="1" ht="12.75" x14ac:dyDescent="0.2">
      <c r="A2658" s="42"/>
      <c r="B2658" s="79"/>
      <c r="C2658" s="40"/>
      <c r="D2658" s="40"/>
      <c r="E2658" s="40"/>
      <c r="F2658" s="41"/>
      <c r="G2658" s="98"/>
    </row>
    <row r="2659" spans="1:7" s="99" customFormat="1" ht="12.75" x14ac:dyDescent="0.2">
      <c r="A2659" s="42"/>
      <c r="B2659" s="79"/>
      <c r="C2659" s="40"/>
      <c r="D2659" s="40"/>
      <c r="E2659" s="40"/>
      <c r="F2659" s="41"/>
      <c r="G2659" s="98"/>
    </row>
    <row r="2660" spans="1:7" s="99" customFormat="1" ht="12.75" x14ac:dyDescent="0.2">
      <c r="A2660" s="42"/>
      <c r="B2660" s="79"/>
      <c r="C2660" s="40"/>
      <c r="D2660" s="40"/>
      <c r="E2660" s="40"/>
      <c r="F2660" s="41"/>
      <c r="G2660" s="98"/>
    </row>
    <row r="2661" spans="1:7" s="99" customFormat="1" ht="12.75" x14ac:dyDescent="0.2">
      <c r="A2661" s="42"/>
      <c r="B2661" s="79"/>
      <c r="C2661" s="40"/>
      <c r="D2661" s="40"/>
      <c r="E2661" s="40"/>
      <c r="F2661" s="41"/>
      <c r="G2661" s="98"/>
    </row>
    <row r="2662" spans="1:7" s="99" customFormat="1" ht="12.75" x14ac:dyDescent="0.2">
      <c r="A2662" s="42"/>
      <c r="B2662" s="79"/>
      <c r="C2662" s="40"/>
      <c r="D2662" s="40"/>
      <c r="E2662" s="40"/>
      <c r="F2662" s="41"/>
      <c r="G2662" s="98"/>
    </row>
    <row r="2663" spans="1:7" s="99" customFormat="1" ht="12.75" x14ac:dyDescent="0.2">
      <c r="A2663" s="42"/>
      <c r="B2663" s="79"/>
      <c r="C2663" s="40"/>
      <c r="D2663" s="40"/>
      <c r="E2663" s="40"/>
      <c r="F2663" s="41"/>
      <c r="G2663" s="98"/>
    </row>
    <row r="2664" spans="1:7" s="99" customFormat="1" ht="12.75" x14ac:dyDescent="0.2">
      <c r="A2664" s="42"/>
      <c r="B2664" s="79"/>
      <c r="C2664" s="40"/>
      <c r="D2664" s="40"/>
      <c r="E2664" s="40"/>
      <c r="F2664" s="41"/>
      <c r="G2664" s="98"/>
    </row>
    <row r="2665" spans="1:7" s="99" customFormat="1" ht="12.75" x14ac:dyDescent="0.2">
      <c r="A2665" s="42"/>
      <c r="B2665" s="79"/>
      <c r="C2665" s="40"/>
      <c r="D2665" s="40"/>
      <c r="E2665" s="40"/>
      <c r="F2665" s="41"/>
      <c r="G2665" s="98"/>
    </row>
    <row r="2666" spans="1:7" s="99" customFormat="1" ht="12.75" x14ac:dyDescent="0.2">
      <c r="A2666" s="42"/>
      <c r="B2666" s="79"/>
      <c r="C2666" s="40"/>
      <c r="D2666" s="40"/>
      <c r="E2666" s="40"/>
      <c r="F2666" s="41"/>
      <c r="G2666" s="98"/>
    </row>
    <row r="2683" spans="1:7" s="99" customFormat="1" ht="12.75" x14ac:dyDescent="0.2">
      <c r="A2683" s="42"/>
      <c r="B2683" s="79"/>
      <c r="C2683" s="40"/>
      <c r="D2683" s="40"/>
      <c r="E2683" s="40"/>
      <c r="F2683" s="41"/>
      <c r="G2683" s="98"/>
    </row>
    <row r="2685" spans="1:7" s="99" customFormat="1" ht="12.75" x14ac:dyDescent="0.2">
      <c r="A2685" s="42"/>
      <c r="B2685" s="79"/>
      <c r="C2685" s="40"/>
      <c r="D2685" s="40"/>
      <c r="E2685" s="40"/>
      <c r="F2685" s="41"/>
      <c r="G2685" s="98"/>
    </row>
    <row r="2687" spans="1:7" s="99" customFormat="1" ht="12.75" x14ac:dyDescent="0.2">
      <c r="A2687" s="42"/>
      <c r="B2687" s="79"/>
      <c r="C2687" s="40"/>
      <c r="D2687" s="40"/>
      <c r="E2687" s="40"/>
      <c r="F2687" s="41"/>
      <c r="G2687" s="98"/>
    </row>
    <row r="2688" spans="1:7" s="99" customFormat="1" ht="12.75" x14ac:dyDescent="0.2">
      <c r="A2688" s="42"/>
      <c r="B2688" s="79"/>
      <c r="C2688" s="40"/>
      <c r="D2688" s="40"/>
      <c r="E2688" s="40"/>
      <c r="F2688" s="41"/>
      <c r="G2688" s="98"/>
    </row>
    <row r="2689" spans="1:7" s="99" customFormat="1" ht="12.75" x14ac:dyDescent="0.2">
      <c r="A2689" s="42"/>
      <c r="B2689" s="79"/>
      <c r="C2689" s="40"/>
      <c r="D2689" s="40"/>
      <c r="E2689" s="40"/>
      <c r="F2689" s="41"/>
      <c r="G2689" s="98"/>
    </row>
    <row r="2691" spans="1:7" s="99" customFormat="1" ht="12.75" x14ac:dyDescent="0.2">
      <c r="A2691" s="42"/>
      <c r="B2691" s="79"/>
      <c r="C2691" s="40"/>
      <c r="D2691" s="40"/>
      <c r="E2691" s="40"/>
      <c r="F2691" s="41"/>
      <c r="G2691" s="98"/>
    </row>
    <row r="2692" spans="1:7" s="99" customFormat="1" ht="12.75" x14ac:dyDescent="0.2">
      <c r="A2692" s="42"/>
      <c r="B2692" s="79"/>
      <c r="C2692" s="40"/>
      <c r="D2692" s="40"/>
      <c r="E2692" s="40"/>
      <c r="F2692" s="41"/>
      <c r="G2692" s="98"/>
    </row>
    <row r="2693" spans="1:7" s="99" customFormat="1" ht="12.75" x14ac:dyDescent="0.2">
      <c r="A2693" s="42"/>
      <c r="B2693" s="79"/>
      <c r="C2693" s="40"/>
      <c r="D2693" s="40"/>
      <c r="E2693" s="40"/>
      <c r="F2693" s="41"/>
      <c r="G2693" s="98"/>
    </row>
    <row r="2694" spans="1:7" s="99" customFormat="1" ht="12.75" x14ac:dyDescent="0.2">
      <c r="A2694" s="42"/>
      <c r="B2694" s="79"/>
      <c r="C2694" s="40"/>
      <c r="D2694" s="40"/>
      <c r="E2694" s="40"/>
      <c r="F2694" s="41"/>
      <c r="G2694" s="98"/>
    </row>
    <row r="2695" spans="1:7" s="99" customFormat="1" ht="12.75" x14ac:dyDescent="0.2">
      <c r="A2695" s="42"/>
      <c r="B2695" s="79"/>
      <c r="C2695" s="40"/>
      <c r="D2695" s="40"/>
      <c r="E2695" s="40"/>
      <c r="F2695" s="41"/>
      <c r="G2695" s="98"/>
    </row>
    <row r="2696" spans="1:7" s="99" customFormat="1" ht="12.75" x14ac:dyDescent="0.2">
      <c r="A2696" s="42"/>
      <c r="B2696" s="79"/>
      <c r="C2696" s="40"/>
      <c r="D2696" s="40"/>
      <c r="E2696" s="40"/>
      <c r="F2696" s="41"/>
      <c r="G2696" s="98"/>
    </row>
    <row r="2697" spans="1:7" s="99" customFormat="1" ht="12.75" x14ac:dyDescent="0.2">
      <c r="A2697" s="42"/>
      <c r="B2697" s="79"/>
      <c r="C2697" s="40"/>
      <c r="D2697" s="40"/>
      <c r="E2697" s="40"/>
      <c r="F2697" s="41"/>
      <c r="G2697" s="98"/>
    </row>
    <row r="2698" spans="1:7" s="99" customFormat="1" ht="12.75" x14ac:dyDescent="0.2">
      <c r="A2698" s="42"/>
      <c r="B2698" s="79"/>
      <c r="C2698" s="40"/>
      <c r="D2698" s="40"/>
      <c r="E2698" s="40"/>
      <c r="F2698" s="41"/>
      <c r="G2698" s="98"/>
    </row>
    <row r="2763" spans="1:7" s="99" customFormat="1" ht="12.75" x14ac:dyDescent="0.2">
      <c r="A2763" s="42"/>
      <c r="B2763" s="79"/>
      <c r="C2763" s="40"/>
      <c r="D2763" s="40"/>
      <c r="E2763" s="40"/>
      <c r="F2763" s="41"/>
      <c r="G2763" s="98"/>
    </row>
    <row r="2765" spans="1:7" s="99" customFormat="1" ht="12.75" x14ac:dyDescent="0.2">
      <c r="A2765" s="42"/>
      <c r="B2765" s="79"/>
      <c r="C2765" s="40"/>
      <c r="D2765" s="40"/>
      <c r="E2765" s="40"/>
      <c r="F2765" s="41"/>
      <c r="G2765" s="98"/>
    </row>
    <row r="2767" spans="1:7" s="99" customFormat="1" ht="12.75" x14ac:dyDescent="0.2">
      <c r="A2767" s="42"/>
      <c r="B2767" s="79"/>
      <c r="C2767" s="40"/>
      <c r="D2767" s="40"/>
      <c r="E2767" s="40"/>
      <c r="F2767" s="41"/>
      <c r="G2767" s="98"/>
    </row>
    <row r="2769" spans="1:7" s="99" customFormat="1" ht="12.75" x14ac:dyDescent="0.2">
      <c r="A2769" s="42"/>
      <c r="B2769" s="79"/>
      <c r="C2769" s="40"/>
      <c r="D2769" s="40"/>
      <c r="E2769" s="40"/>
      <c r="F2769" s="41"/>
      <c r="G2769" s="98"/>
    </row>
    <row r="2771" spans="1:7" s="99" customFormat="1" ht="12.75" x14ac:dyDescent="0.2">
      <c r="A2771" s="42"/>
      <c r="B2771" s="79"/>
      <c r="C2771" s="40"/>
      <c r="D2771" s="40"/>
      <c r="E2771" s="40"/>
      <c r="F2771" s="41"/>
      <c r="G2771" s="98"/>
    </row>
    <row r="2772" spans="1:7" s="99" customFormat="1" ht="12.75" x14ac:dyDescent="0.2">
      <c r="A2772" s="42"/>
      <c r="B2772" s="79"/>
      <c r="C2772" s="40"/>
      <c r="D2772" s="40"/>
      <c r="E2772" s="40"/>
      <c r="F2772" s="41"/>
      <c r="G2772" s="98"/>
    </row>
    <row r="2773" spans="1:7" s="99" customFormat="1" ht="12.75" x14ac:dyDescent="0.2">
      <c r="A2773" s="42"/>
      <c r="B2773" s="79"/>
      <c r="C2773" s="40"/>
      <c r="D2773" s="40"/>
      <c r="E2773" s="40"/>
      <c r="F2773" s="41"/>
      <c r="G2773" s="98"/>
    </row>
    <row r="2774" spans="1:7" s="99" customFormat="1" ht="12.75" x14ac:dyDescent="0.2">
      <c r="A2774" s="42"/>
      <c r="B2774" s="79"/>
      <c r="C2774" s="40"/>
      <c r="D2774" s="40"/>
      <c r="E2774" s="40"/>
      <c r="F2774" s="41"/>
      <c r="G2774" s="98"/>
    </row>
    <row r="2775" spans="1:7" s="99" customFormat="1" ht="12.75" x14ac:dyDescent="0.2">
      <c r="A2775" s="42"/>
      <c r="B2775" s="79"/>
      <c r="C2775" s="40"/>
      <c r="D2775" s="40"/>
      <c r="E2775" s="40"/>
      <c r="F2775" s="41"/>
      <c r="G2775" s="98"/>
    </row>
    <row r="2776" spans="1:7" s="99" customFormat="1" ht="12.75" x14ac:dyDescent="0.2">
      <c r="A2776" s="42"/>
      <c r="B2776" s="79"/>
      <c r="C2776" s="40"/>
      <c r="D2776" s="40"/>
      <c r="E2776" s="40"/>
      <c r="F2776" s="41"/>
      <c r="G2776" s="98"/>
    </row>
    <row r="2777" spans="1:7" s="99" customFormat="1" ht="12.75" x14ac:dyDescent="0.2">
      <c r="A2777" s="42"/>
      <c r="B2777" s="79"/>
      <c r="C2777" s="40"/>
      <c r="D2777" s="40"/>
      <c r="E2777" s="40"/>
      <c r="F2777" s="41"/>
      <c r="G2777" s="98"/>
    </row>
    <row r="2778" spans="1:7" s="99" customFormat="1" ht="12.75" x14ac:dyDescent="0.2">
      <c r="A2778" s="42"/>
      <c r="B2778" s="79"/>
      <c r="C2778" s="40"/>
      <c r="D2778" s="40"/>
      <c r="E2778" s="40"/>
      <c r="F2778" s="41"/>
      <c r="G2778" s="98"/>
    </row>
    <row r="2798" spans="1:7" s="99" customFormat="1" ht="12.75" x14ac:dyDescent="0.2">
      <c r="A2798" s="42"/>
      <c r="B2798" s="79"/>
      <c r="C2798" s="40"/>
      <c r="D2798" s="40"/>
      <c r="E2798" s="40"/>
      <c r="F2798" s="41"/>
      <c r="G2798" s="98"/>
    </row>
    <row r="2799" spans="1:7" s="99" customFormat="1" ht="12.75" x14ac:dyDescent="0.2">
      <c r="A2799" s="42"/>
      <c r="B2799" s="79"/>
      <c r="C2799" s="40"/>
      <c r="D2799" s="40"/>
      <c r="E2799" s="40"/>
      <c r="F2799" s="41"/>
      <c r="G2799" s="98"/>
    </row>
    <row r="2800" spans="1:7" s="99" customFormat="1" ht="12.75" x14ac:dyDescent="0.2">
      <c r="A2800" s="42"/>
      <c r="B2800" s="79"/>
      <c r="C2800" s="40"/>
      <c r="D2800" s="40"/>
      <c r="E2800" s="40"/>
      <c r="F2800" s="41"/>
      <c r="G2800" s="98"/>
    </row>
    <row r="2802" spans="1:7" s="99" customFormat="1" ht="12.75" x14ac:dyDescent="0.2">
      <c r="A2802" s="42"/>
      <c r="B2802" s="79"/>
      <c r="C2802" s="40"/>
      <c r="D2802" s="40"/>
      <c r="E2802" s="40"/>
      <c r="F2802" s="41"/>
      <c r="G2802" s="98"/>
    </row>
    <row r="2803" spans="1:7" s="99" customFormat="1" ht="12.75" x14ac:dyDescent="0.2">
      <c r="A2803" s="42"/>
      <c r="B2803" s="79"/>
      <c r="C2803" s="40"/>
      <c r="D2803" s="40"/>
      <c r="E2803" s="40"/>
      <c r="F2803" s="41"/>
      <c r="G2803" s="98"/>
    </row>
    <row r="2804" spans="1:7" s="99" customFormat="1" ht="12.75" x14ac:dyDescent="0.2">
      <c r="A2804" s="42"/>
      <c r="B2804" s="79"/>
      <c r="C2804" s="40"/>
      <c r="D2804" s="40"/>
      <c r="E2804" s="40"/>
      <c r="F2804" s="41"/>
      <c r="G2804" s="98"/>
    </row>
    <row r="2806" spans="1:7" s="99" customFormat="1" ht="12.75" x14ac:dyDescent="0.2">
      <c r="A2806" s="42"/>
      <c r="B2806" s="79"/>
      <c r="C2806" s="40"/>
      <c r="D2806" s="40"/>
      <c r="E2806" s="40"/>
      <c r="F2806" s="41"/>
      <c r="G2806" s="98"/>
    </row>
    <row r="2807" spans="1:7" s="99" customFormat="1" ht="12.75" x14ac:dyDescent="0.2">
      <c r="A2807" s="42"/>
      <c r="B2807" s="79"/>
      <c r="C2807" s="40"/>
      <c r="D2807" s="40"/>
      <c r="E2807" s="40"/>
      <c r="F2807" s="41"/>
      <c r="G2807" s="98"/>
    </row>
    <row r="2808" spans="1:7" s="99" customFormat="1" ht="12.75" x14ac:dyDescent="0.2">
      <c r="A2808" s="42"/>
      <c r="B2808" s="79"/>
      <c r="C2808" s="40"/>
      <c r="D2808" s="40"/>
      <c r="E2808" s="40"/>
      <c r="F2808" s="41"/>
      <c r="G2808" s="98"/>
    </row>
    <row r="2809" spans="1:7" s="99" customFormat="1" ht="12.75" x14ac:dyDescent="0.2">
      <c r="A2809" s="42"/>
      <c r="B2809" s="79"/>
      <c r="C2809" s="40"/>
      <c r="D2809" s="40"/>
      <c r="E2809" s="40"/>
      <c r="F2809" s="41"/>
      <c r="G2809" s="98"/>
    </row>
    <row r="2810" spans="1:7" s="99" customFormat="1" ht="12.75" x14ac:dyDescent="0.2">
      <c r="A2810" s="42"/>
      <c r="B2810" s="79"/>
      <c r="C2810" s="40"/>
      <c r="D2810" s="40"/>
      <c r="E2810" s="40"/>
      <c r="F2810" s="41"/>
      <c r="G2810" s="98"/>
    </row>
    <row r="2859" spans="1:7" s="99" customFormat="1" ht="12.75" x14ac:dyDescent="0.2">
      <c r="A2859" s="42"/>
      <c r="B2859" s="79"/>
      <c r="C2859" s="40"/>
      <c r="D2859" s="40"/>
      <c r="E2859" s="40"/>
      <c r="F2859" s="41"/>
      <c r="G2859" s="98"/>
    </row>
    <row r="2860" spans="1:7" s="99" customFormat="1" ht="12.75" x14ac:dyDescent="0.2">
      <c r="A2860" s="42"/>
      <c r="B2860" s="79"/>
      <c r="C2860" s="40"/>
      <c r="D2860" s="40"/>
      <c r="E2860" s="40"/>
      <c r="F2860" s="41"/>
      <c r="G2860" s="98"/>
    </row>
    <row r="2861" spans="1:7" s="99" customFormat="1" ht="12.75" x14ac:dyDescent="0.2">
      <c r="A2861" s="42"/>
      <c r="B2861" s="79"/>
      <c r="C2861" s="40"/>
      <c r="D2861" s="40"/>
      <c r="E2861" s="40"/>
      <c r="F2861" s="41"/>
      <c r="G2861" s="98"/>
    </row>
    <row r="2862" spans="1:7" s="99" customFormat="1" ht="12.75" x14ac:dyDescent="0.2">
      <c r="A2862" s="42"/>
      <c r="B2862" s="79"/>
      <c r="C2862" s="40"/>
      <c r="D2862" s="40"/>
      <c r="E2862" s="40"/>
      <c r="F2862" s="41"/>
      <c r="G2862" s="98"/>
    </row>
    <row r="2863" spans="1:7" s="99" customFormat="1" ht="12.75" x14ac:dyDescent="0.2">
      <c r="A2863" s="42"/>
      <c r="B2863" s="79"/>
      <c r="C2863" s="40"/>
      <c r="D2863" s="40"/>
      <c r="E2863" s="40"/>
      <c r="F2863" s="41"/>
      <c r="G2863" s="98"/>
    </row>
    <row r="2864" spans="1:7" s="99" customFormat="1" ht="12.75" x14ac:dyDescent="0.2">
      <c r="A2864" s="42"/>
      <c r="B2864" s="79"/>
      <c r="C2864" s="40"/>
      <c r="D2864" s="40"/>
      <c r="E2864" s="40"/>
      <c r="F2864" s="41"/>
      <c r="G2864" s="98"/>
    </row>
    <row r="2865" spans="1:7" s="99" customFormat="1" ht="12.75" x14ac:dyDescent="0.2">
      <c r="A2865" s="42"/>
      <c r="B2865" s="79"/>
      <c r="C2865" s="40"/>
      <c r="D2865" s="40"/>
      <c r="E2865" s="40"/>
      <c r="F2865" s="41"/>
      <c r="G2865" s="98"/>
    </row>
    <row r="2866" spans="1:7" s="99" customFormat="1" ht="12.75" x14ac:dyDescent="0.2">
      <c r="A2866" s="42"/>
      <c r="B2866" s="79"/>
      <c r="C2866" s="40"/>
      <c r="D2866" s="40"/>
      <c r="E2866" s="40"/>
      <c r="F2866" s="41"/>
      <c r="G2866" s="98"/>
    </row>
    <row r="2867" spans="1:7" s="99" customFormat="1" ht="12.75" x14ac:dyDescent="0.2">
      <c r="A2867" s="42"/>
      <c r="B2867" s="79"/>
      <c r="C2867" s="40"/>
      <c r="D2867" s="40"/>
      <c r="E2867" s="40"/>
      <c r="F2867" s="41"/>
      <c r="G2867" s="98"/>
    </row>
    <row r="2868" spans="1:7" s="99" customFormat="1" ht="12.75" x14ac:dyDescent="0.2">
      <c r="A2868" s="42"/>
      <c r="B2868" s="79"/>
      <c r="C2868" s="40"/>
      <c r="D2868" s="40"/>
      <c r="E2868" s="40"/>
      <c r="F2868" s="41"/>
      <c r="G2868" s="98"/>
    </row>
    <row r="2869" spans="1:7" s="99" customFormat="1" ht="12.75" x14ac:dyDescent="0.2">
      <c r="A2869" s="42"/>
      <c r="B2869" s="79"/>
      <c r="C2869" s="40"/>
      <c r="D2869" s="40"/>
      <c r="E2869" s="40"/>
      <c r="F2869" s="41"/>
      <c r="G2869" s="98"/>
    </row>
    <row r="2870" spans="1:7" s="99" customFormat="1" ht="12.75" x14ac:dyDescent="0.2">
      <c r="A2870" s="42"/>
      <c r="B2870" s="79"/>
      <c r="C2870" s="40"/>
      <c r="D2870" s="40"/>
      <c r="E2870" s="40"/>
      <c r="F2870" s="41"/>
      <c r="G2870" s="98"/>
    </row>
    <row r="2871" spans="1:7" s="99" customFormat="1" ht="12.75" x14ac:dyDescent="0.2">
      <c r="A2871" s="42"/>
      <c r="B2871" s="79"/>
      <c r="C2871" s="40"/>
      <c r="D2871" s="40"/>
      <c r="E2871" s="40"/>
      <c r="F2871" s="41"/>
      <c r="G2871" s="98"/>
    </row>
    <row r="2872" spans="1:7" s="99" customFormat="1" ht="12.75" x14ac:dyDescent="0.2">
      <c r="A2872" s="42"/>
      <c r="B2872" s="79"/>
      <c r="C2872" s="40"/>
      <c r="D2872" s="40"/>
      <c r="E2872" s="40"/>
      <c r="F2872" s="41"/>
      <c r="G2872" s="98"/>
    </row>
    <row r="2873" spans="1:7" s="99" customFormat="1" ht="12.75" x14ac:dyDescent="0.2">
      <c r="A2873" s="42"/>
      <c r="B2873" s="79"/>
      <c r="C2873" s="40"/>
      <c r="D2873" s="40"/>
      <c r="E2873" s="40"/>
      <c r="F2873" s="41"/>
      <c r="G2873" s="98"/>
    </row>
    <row r="2874" spans="1:7" s="99" customFormat="1" ht="12.75" x14ac:dyDescent="0.2">
      <c r="A2874" s="42"/>
      <c r="B2874" s="79"/>
      <c r="C2874" s="40"/>
      <c r="D2874" s="40"/>
      <c r="E2874" s="40"/>
      <c r="F2874" s="41"/>
      <c r="G2874" s="98"/>
    </row>
    <row r="2875" spans="1:7" s="99" customFormat="1" ht="12.75" x14ac:dyDescent="0.2">
      <c r="A2875" s="42"/>
      <c r="B2875" s="79"/>
      <c r="C2875" s="40"/>
      <c r="D2875" s="40"/>
      <c r="E2875" s="40"/>
      <c r="F2875" s="41"/>
      <c r="G2875" s="98"/>
    </row>
    <row r="2876" spans="1:7" s="99" customFormat="1" ht="12.75" x14ac:dyDescent="0.2">
      <c r="A2876" s="42"/>
      <c r="B2876" s="79"/>
      <c r="C2876" s="40"/>
      <c r="D2876" s="40"/>
      <c r="E2876" s="40"/>
      <c r="F2876" s="41"/>
      <c r="G2876" s="98"/>
    </row>
    <row r="2877" spans="1:7" s="99" customFormat="1" ht="12.75" x14ac:dyDescent="0.2">
      <c r="A2877" s="42"/>
      <c r="B2877" s="79"/>
      <c r="C2877" s="40"/>
      <c r="D2877" s="40"/>
      <c r="E2877" s="40"/>
      <c r="F2877" s="41"/>
      <c r="G2877" s="98"/>
    </row>
    <row r="2878" spans="1:7" s="99" customFormat="1" ht="12.75" x14ac:dyDescent="0.2">
      <c r="A2878" s="42"/>
      <c r="B2878" s="79"/>
      <c r="C2878" s="40"/>
      <c r="D2878" s="40"/>
      <c r="E2878" s="40"/>
      <c r="F2878" s="41"/>
      <c r="G2878" s="98"/>
    </row>
    <row r="2879" spans="1:7" s="99" customFormat="1" ht="12.75" x14ac:dyDescent="0.2">
      <c r="A2879" s="42"/>
      <c r="B2879" s="79"/>
      <c r="C2879" s="40"/>
      <c r="D2879" s="40"/>
      <c r="E2879" s="40"/>
      <c r="F2879" s="41"/>
      <c r="G2879" s="98"/>
    </row>
    <row r="2880" spans="1:7" s="99" customFormat="1" ht="12.75" x14ac:dyDescent="0.2">
      <c r="A2880" s="42"/>
      <c r="B2880" s="79"/>
      <c r="C2880" s="40"/>
      <c r="D2880" s="40"/>
      <c r="E2880" s="40"/>
      <c r="F2880" s="41"/>
      <c r="G2880" s="98"/>
    </row>
    <row r="2881" spans="1:7" s="99" customFormat="1" ht="12.75" x14ac:dyDescent="0.2">
      <c r="A2881" s="42"/>
      <c r="B2881" s="79"/>
      <c r="C2881" s="40"/>
      <c r="D2881" s="40"/>
      <c r="E2881" s="40"/>
      <c r="F2881" s="41"/>
      <c r="G2881" s="98"/>
    </row>
    <row r="2882" spans="1:7" s="99" customFormat="1" ht="12.75" x14ac:dyDescent="0.2">
      <c r="A2882" s="42"/>
      <c r="B2882" s="79"/>
      <c r="C2882" s="40"/>
      <c r="D2882" s="40"/>
      <c r="E2882" s="40"/>
      <c r="F2882" s="41"/>
      <c r="G2882" s="98"/>
    </row>
    <row r="2883" spans="1:7" s="99" customFormat="1" ht="12.75" x14ac:dyDescent="0.2">
      <c r="A2883" s="42"/>
      <c r="B2883" s="79"/>
      <c r="C2883" s="40"/>
      <c r="D2883" s="40"/>
      <c r="E2883" s="40"/>
      <c r="F2883" s="41"/>
      <c r="G2883" s="98"/>
    </row>
    <row r="2884" spans="1:7" s="99" customFormat="1" ht="12.75" x14ac:dyDescent="0.2">
      <c r="A2884" s="42"/>
      <c r="B2884" s="79"/>
      <c r="C2884" s="40"/>
      <c r="D2884" s="40"/>
      <c r="E2884" s="40"/>
      <c r="F2884" s="41"/>
      <c r="G2884" s="98"/>
    </row>
    <row r="2885" spans="1:7" s="99" customFormat="1" ht="12.75" x14ac:dyDescent="0.2">
      <c r="A2885" s="42"/>
      <c r="B2885" s="79"/>
      <c r="C2885" s="40"/>
      <c r="D2885" s="40"/>
      <c r="E2885" s="40"/>
      <c r="F2885" s="41"/>
      <c r="G2885" s="98"/>
    </row>
    <row r="2886" spans="1:7" s="99" customFormat="1" ht="12.75" x14ac:dyDescent="0.2">
      <c r="A2886" s="42"/>
      <c r="B2886" s="79"/>
      <c r="C2886" s="40"/>
      <c r="D2886" s="40"/>
      <c r="E2886" s="40"/>
      <c r="F2886" s="41"/>
      <c r="G2886" s="98"/>
    </row>
    <row r="2887" spans="1:7" s="99" customFormat="1" ht="12.75" x14ac:dyDescent="0.2">
      <c r="A2887" s="42"/>
      <c r="B2887" s="79"/>
      <c r="C2887" s="40"/>
      <c r="D2887" s="40"/>
      <c r="E2887" s="40"/>
      <c r="F2887" s="41"/>
      <c r="G2887" s="98"/>
    </row>
    <row r="2888" spans="1:7" s="99" customFormat="1" ht="12.75" x14ac:dyDescent="0.2">
      <c r="A2888" s="42"/>
      <c r="B2888" s="79"/>
      <c r="C2888" s="40"/>
      <c r="D2888" s="40"/>
      <c r="E2888" s="40"/>
      <c r="F2888" s="41"/>
      <c r="G2888" s="98"/>
    </row>
    <row r="2889" spans="1:7" s="99" customFormat="1" ht="12.75" x14ac:dyDescent="0.2">
      <c r="A2889" s="42"/>
      <c r="B2889" s="79"/>
      <c r="C2889" s="40"/>
      <c r="D2889" s="40"/>
      <c r="E2889" s="40"/>
      <c r="F2889" s="41"/>
      <c r="G2889" s="98"/>
    </row>
    <row r="2890" spans="1:7" s="99" customFormat="1" ht="12.75" x14ac:dyDescent="0.2">
      <c r="A2890" s="42"/>
      <c r="B2890" s="79"/>
      <c r="C2890" s="40"/>
      <c r="D2890" s="40"/>
      <c r="E2890" s="40"/>
      <c r="F2890" s="41"/>
      <c r="G2890" s="98"/>
    </row>
    <row r="2907" spans="1:7" s="99" customFormat="1" ht="12.75" x14ac:dyDescent="0.2">
      <c r="A2907" s="42"/>
      <c r="B2907" s="79"/>
      <c r="C2907" s="40"/>
      <c r="D2907" s="40"/>
      <c r="E2907" s="40"/>
      <c r="F2907" s="41"/>
      <c r="G2907" s="98"/>
    </row>
    <row r="2908" spans="1:7" s="99" customFormat="1" ht="12.75" x14ac:dyDescent="0.2">
      <c r="A2908" s="42"/>
      <c r="B2908" s="79"/>
      <c r="C2908" s="40"/>
      <c r="D2908" s="40"/>
      <c r="E2908" s="40"/>
      <c r="F2908" s="41"/>
      <c r="G2908" s="98"/>
    </row>
    <row r="2909" spans="1:7" s="99" customFormat="1" ht="12.75" x14ac:dyDescent="0.2">
      <c r="A2909" s="42"/>
      <c r="B2909" s="79"/>
      <c r="C2909" s="40"/>
      <c r="D2909" s="40"/>
      <c r="E2909" s="40"/>
      <c r="F2909" s="41"/>
      <c r="G2909" s="98"/>
    </row>
    <row r="2910" spans="1:7" s="99" customFormat="1" ht="12.75" x14ac:dyDescent="0.2">
      <c r="A2910" s="42"/>
      <c r="B2910" s="79"/>
      <c r="C2910" s="40"/>
      <c r="D2910" s="40"/>
      <c r="E2910" s="40"/>
      <c r="F2910" s="41"/>
      <c r="G2910" s="98"/>
    </row>
    <row r="2911" spans="1:7" s="99" customFormat="1" ht="12.75" x14ac:dyDescent="0.2">
      <c r="A2911" s="42"/>
      <c r="B2911" s="79"/>
      <c r="C2911" s="40"/>
      <c r="D2911" s="40"/>
      <c r="E2911" s="40"/>
      <c r="F2911" s="41"/>
      <c r="G2911" s="98"/>
    </row>
    <row r="2912" spans="1:7" s="99" customFormat="1" ht="12.75" x14ac:dyDescent="0.2">
      <c r="A2912" s="42"/>
      <c r="B2912" s="79"/>
      <c r="C2912" s="40"/>
      <c r="D2912" s="40"/>
      <c r="E2912" s="40"/>
      <c r="F2912" s="41"/>
      <c r="G2912" s="98"/>
    </row>
    <row r="2913" spans="1:7" s="99" customFormat="1" ht="12.75" x14ac:dyDescent="0.2">
      <c r="A2913" s="42"/>
      <c r="B2913" s="79"/>
      <c r="C2913" s="40"/>
      <c r="D2913" s="40"/>
      <c r="E2913" s="40"/>
      <c r="F2913" s="41"/>
      <c r="G2913" s="98"/>
    </row>
    <row r="2914" spans="1:7" s="99" customFormat="1" ht="12.75" x14ac:dyDescent="0.2">
      <c r="A2914" s="42"/>
      <c r="B2914" s="79"/>
      <c r="C2914" s="40"/>
      <c r="D2914" s="40"/>
      <c r="E2914" s="40"/>
      <c r="F2914" s="41"/>
      <c r="G2914" s="98"/>
    </row>
    <row r="2915" spans="1:7" s="99" customFormat="1" ht="12.75" x14ac:dyDescent="0.2">
      <c r="A2915" s="42"/>
      <c r="B2915" s="79"/>
      <c r="C2915" s="40"/>
      <c r="D2915" s="40"/>
      <c r="E2915" s="40"/>
      <c r="F2915" s="41"/>
      <c r="G2915" s="98"/>
    </row>
    <row r="2916" spans="1:7" s="99" customFormat="1" ht="12.75" x14ac:dyDescent="0.2">
      <c r="A2916" s="42"/>
      <c r="B2916" s="79"/>
      <c r="C2916" s="40"/>
      <c r="D2916" s="40"/>
      <c r="E2916" s="40"/>
      <c r="F2916" s="41"/>
      <c r="G2916" s="98"/>
    </row>
    <row r="2917" spans="1:7" s="99" customFormat="1" ht="12.75" x14ac:dyDescent="0.2">
      <c r="A2917" s="42"/>
      <c r="B2917" s="79"/>
      <c r="C2917" s="40"/>
      <c r="D2917" s="40"/>
      <c r="E2917" s="40"/>
      <c r="F2917" s="41"/>
      <c r="G2917" s="98"/>
    </row>
    <row r="2918" spans="1:7" s="99" customFormat="1" ht="12.75" x14ac:dyDescent="0.2">
      <c r="A2918" s="42"/>
      <c r="B2918" s="79"/>
      <c r="C2918" s="40"/>
      <c r="D2918" s="40"/>
      <c r="E2918" s="40"/>
      <c r="F2918" s="41"/>
      <c r="G2918" s="98"/>
    </row>
    <row r="2919" spans="1:7" s="99" customFormat="1" ht="12.75" x14ac:dyDescent="0.2">
      <c r="A2919" s="42"/>
      <c r="B2919" s="79"/>
      <c r="C2919" s="40"/>
      <c r="D2919" s="40"/>
      <c r="E2919" s="40"/>
      <c r="F2919" s="41"/>
      <c r="G2919" s="98"/>
    </row>
    <row r="2920" spans="1:7" s="99" customFormat="1" ht="12.75" x14ac:dyDescent="0.2">
      <c r="A2920" s="42"/>
      <c r="B2920" s="79"/>
      <c r="C2920" s="40"/>
      <c r="D2920" s="40"/>
      <c r="E2920" s="40"/>
      <c r="F2920" s="41"/>
      <c r="G2920" s="98"/>
    </row>
    <row r="2921" spans="1:7" s="99" customFormat="1" ht="12.75" x14ac:dyDescent="0.2">
      <c r="A2921" s="42"/>
      <c r="B2921" s="79"/>
      <c r="C2921" s="40"/>
      <c r="D2921" s="40"/>
      <c r="E2921" s="40"/>
      <c r="F2921" s="41"/>
      <c r="G2921" s="98"/>
    </row>
    <row r="2922" spans="1:7" s="99" customFormat="1" ht="12.75" x14ac:dyDescent="0.2">
      <c r="A2922" s="42"/>
      <c r="B2922" s="79"/>
      <c r="C2922" s="40"/>
      <c r="D2922" s="40"/>
      <c r="E2922" s="40"/>
      <c r="F2922" s="41"/>
      <c r="G2922" s="98"/>
    </row>
    <row r="2923" spans="1:7" s="99" customFormat="1" ht="12.75" x14ac:dyDescent="0.2">
      <c r="A2923" s="42"/>
      <c r="B2923" s="79"/>
      <c r="C2923" s="40"/>
      <c r="D2923" s="40"/>
      <c r="E2923" s="40"/>
      <c r="F2923" s="41"/>
      <c r="G2923" s="98"/>
    </row>
    <row r="2924" spans="1:7" s="99" customFormat="1" ht="12.75" x14ac:dyDescent="0.2">
      <c r="A2924" s="42"/>
      <c r="B2924" s="79"/>
      <c r="C2924" s="40"/>
      <c r="D2924" s="40"/>
      <c r="E2924" s="40"/>
      <c r="F2924" s="41"/>
      <c r="G2924" s="98"/>
    </row>
    <row r="2925" spans="1:7" s="99" customFormat="1" ht="12.75" x14ac:dyDescent="0.2">
      <c r="A2925" s="42"/>
      <c r="B2925" s="79"/>
      <c r="C2925" s="40"/>
      <c r="D2925" s="40"/>
      <c r="E2925" s="40"/>
      <c r="F2925" s="41"/>
      <c r="G2925" s="98"/>
    </row>
    <row r="2926" spans="1:7" s="99" customFormat="1" ht="12.75" x14ac:dyDescent="0.2">
      <c r="A2926" s="42"/>
      <c r="B2926" s="79"/>
      <c r="C2926" s="40"/>
      <c r="D2926" s="40"/>
      <c r="E2926" s="40"/>
      <c r="F2926" s="41"/>
      <c r="G2926" s="98"/>
    </row>
    <row r="2927" spans="1:7" s="99" customFormat="1" ht="12.75" x14ac:dyDescent="0.2">
      <c r="A2927" s="42"/>
      <c r="B2927" s="79"/>
      <c r="C2927" s="40"/>
      <c r="D2927" s="40"/>
      <c r="E2927" s="40"/>
      <c r="F2927" s="41"/>
      <c r="G2927" s="98"/>
    </row>
    <row r="2928" spans="1:7" s="99" customFormat="1" ht="12.75" x14ac:dyDescent="0.2">
      <c r="A2928" s="42"/>
      <c r="B2928" s="79"/>
      <c r="C2928" s="40"/>
      <c r="D2928" s="40"/>
      <c r="E2928" s="40"/>
      <c r="F2928" s="41"/>
      <c r="G2928" s="98"/>
    </row>
    <row r="2929" spans="1:7" s="99" customFormat="1" ht="12.75" x14ac:dyDescent="0.2">
      <c r="A2929" s="42"/>
      <c r="B2929" s="79"/>
      <c r="C2929" s="40"/>
      <c r="D2929" s="40"/>
      <c r="E2929" s="40"/>
      <c r="F2929" s="41"/>
      <c r="G2929" s="98"/>
    </row>
    <row r="2930" spans="1:7" s="99" customFormat="1" ht="12.75" x14ac:dyDescent="0.2">
      <c r="A2930" s="42"/>
      <c r="B2930" s="79"/>
      <c r="C2930" s="40"/>
      <c r="D2930" s="40"/>
      <c r="E2930" s="40"/>
      <c r="F2930" s="41"/>
      <c r="G2930" s="98"/>
    </row>
    <row r="2931" spans="1:7" s="99" customFormat="1" ht="12.75" x14ac:dyDescent="0.2">
      <c r="A2931" s="42"/>
      <c r="B2931" s="79"/>
      <c r="C2931" s="40"/>
      <c r="D2931" s="40"/>
      <c r="E2931" s="40"/>
      <c r="F2931" s="41"/>
      <c r="G2931" s="98"/>
    </row>
    <row r="2932" spans="1:7" s="99" customFormat="1" ht="12.75" x14ac:dyDescent="0.2">
      <c r="A2932" s="42"/>
      <c r="B2932" s="79"/>
      <c r="C2932" s="40"/>
      <c r="D2932" s="40"/>
      <c r="E2932" s="40"/>
      <c r="F2932" s="41"/>
      <c r="G2932" s="98"/>
    </row>
    <row r="2933" spans="1:7" s="99" customFormat="1" ht="12.75" x14ac:dyDescent="0.2">
      <c r="A2933" s="42"/>
      <c r="B2933" s="79"/>
      <c r="C2933" s="40"/>
      <c r="D2933" s="40"/>
      <c r="E2933" s="40"/>
      <c r="F2933" s="41"/>
      <c r="G2933" s="98"/>
    </row>
    <row r="2934" spans="1:7" s="99" customFormat="1" ht="12.75" x14ac:dyDescent="0.2">
      <c r="A2934" s="42"/>
      <c r="B2934" s="79"/>
      <c r="C2934" s="40"/>
      <c r="D2934" s="40"/>
      <c r="E2934" s="40"/>
      <c r="F2934" s="41"/>
      <c r="G2934" s="98"/>
    </row>
    <row r="2935" spans="1:7" s="99" customFormat="1" ht="12.75" x14ac:dyDescent="0.2">
      <c r="A2935" s="42"/>
      <c r="B2935" s="79"/>
      <c r="C2935" s="40"/>
      <c r="D2935" s="40"/>
      <c r="E2935" s="40"/>
      <c r="F2935" s="41"/>
      <c r="G2935" s="98"/>
    </row>
    <row r="2936" spans="1:7" s="99" customFormat="1" ht="12.75" x14ac:dyDescent="0.2">
      <c r="A2936" s="42"/>
      <c r="B2936" s="79"/>
      <c r="C2936" s="40"/>
      <c r="D2936" s="40"/>
      <c r="E2936" s="40"/>
      <c r="F2936" s="41"/>
      <c r="G2936" s="98"/>
    </row>
    <row r="2937" spans="1:7" s="99" customFormat="1" ht="12.75" x14ac:dyDescent="0.2">
      <c r="A2937" s="42"/>
      <c r="B2937" s="79"/>
      <c r="C2937" s="40"/>
      <c r="D2937" s="40"/>
      <c r="E2937" s="40"/>
      <c r="F2937" s="41"/>
      <c r="G2937" s="98"/>
    </row>
    <row r="2938" spans="1:7" s="99" customFormat="1" ht="12.75" x14ac:dyDescent="0.2">
      <c r="A2938" s="42"/>
      <c r="B2938" s="79"/>
      <c r="C2938" s="40"/>
      <c r="D2938" s="40"/>
      <c r="E2938" s="40"/>
      <c r="F2938" s="41"/>
      <c r="G2938" s="98"/>
    </row>
    <row r="2955" spans="1:7" s="99" customFormat="1" ht="12.75" x14ac:dyDescent="0.2">
      <c r="A2955" s="42"/>
      <c r="B2955" s="79"/>
      <c r="C2955" s="40"/>
      <c r="D2955" s="40"/>
      <c r="E2955" s="40"/>
      <c r="F2955" s="41"/>
      <c r="G2955" s="98"/>
    </row>
    <row r="2956" spans="1:7" s="99" customFormat="1" ht="12.75" x14ac:dyDescent="0.2">
      <c r="A2956" s="42"/>
      <c r="B2956" s="79"/>
      <c r="C2956" s="40"/>
      <c r="D2956" s="40"/>
      <c r="E2956" s="40"/>
      <c r="F2956" s="41"/>
      <c r="G2956" s="98"/>
    </row>
    <row r="2957" spans="1:7" s="99" customFormat="1" ht="12.75" x14ac:dyDescent="0.2">
      <c r="A2957" s="42"/>
      <c r="B2957" s="79"/>
      <c r="C2957" s="40"/>
      <c r="D2957" s="40"/>
      <c r="E2957" s="40"/>
      <c r="F2957" s="41"/>
      <c r="G2957" s="98"/>
    </row>
    <row r="2958" spans="1:7" s="99" customFormat="1" ht="12.75" x14ac:dyDescent="0.2">
      <c r="A2958" s="42"/>
      <c r="B2958" s="79"/>
      <c r="C2958" s="40"/>
      <c r="D2958" s="40"/>
      <c r="E2958" s="40"/>
      <c r="F2958" s="41"/>
      <c r="G2958" s="98"/>
    </row>
    <row r="2959" spans="1:7" s="99" customFormat="1" ht="12.75" x14ac:dyDescent="0.2">
      <c r="A2959" s="42"/>
      <c r="B2959" s="79"/>
      <c r="C2959" s="40"/>
      <c r="D2959" s="40"/>
      <c r="E2959" s="40"/>
      <c r="F2959" s="41"/>
      <c r="G2959" s="98"/>
    </row>
    <row r="2960" spans="1:7" s="99" customFormat="1" ht="12.75" x14ac:dyDescent="0.2">
      <c r="A2960" s="42"/>
      <c r="B2960" s="79"/>
      <c r="C2960" s="40"/>
      <c r="D2960" s="40"/>
      <c r="E2960" s="40"/>
      <c r="F2960" s="41"/>
      <c r="G2960" s="98"/>
    </row>
    <row r="2961" spans="1:7" s="99" customFormat="1" ht="12.75" x14ac:dyDescent="0.2">
      <c r="A2961" s="42"/>
      <c r="B2961" s="79"/>
      <c r="C2961" s="40"/>
      <c r="D2961" s="40"/>
      <c r="E2961" s="40"/>
      <c r="F2961" s="41"/>
      <c r="G2961" s="98"/>
    </row>
    <row r="2962" spans="1:7" s="99" customFormat="1" ht="12.75" x14ac:dyDescent="0.2">
      <c r="A2962" s="42"/>
      <c r="B2962" s="79"/>
      <c r="C2962" s="40"/>
      <c r="D2962" s="40"/>
      <c r="E2962" s="40"/>
      <c r="F2962" s="41"/>
      <c r="G2962" s="98"/>
    </row>
    <row r="2963" spans="1:7" s="99" customFormat="1" ht="12.75" x14ac:dyDescent="0.2">
      <c r="A2963" s="42"/>
      <c r="B2963" s="79"/>
      <c r="C2963" s="40"/>
      <c r="D2963" s="40"/>
      <c r="E2963" s="40"/>
      <c r="F2963" s="41"/>
      <c r="G2963" s="98"/>
    </row>
    <row r="2964" spans="1:7" s="99" customFormat="1" ht="12.75" x14ac:dyDescent="0.2">
      <c r="A2964" s="42"/>
      <c r="B2964" s="79"/>
      <c r="C2964" s="40"/>
      <c r="D2964" s="40"/>
      <c r="E2964" s="40"/>
      <c r="F2964" s="41"/>
      <c r="G2964" s="98"/>
    </row>
    <row r="2965" spans="1:7" s="99" customFormat="1" ht="12.75" x14ac:dyDescent="0.2">
      <c r="A2965" s="42"/>
      <c r="B2965" s="79"/>
      <c r="C2965" s="40"/>
      <c r="D2965" s="40"/>
      <c r="E2965" s="40"/>
      <c r="F2965" s="41"/>
      <c r="G2965" s="98"/>
    </row>
    <row r="2966" spans="1:7" s="99" customFormat="1" ht="12.75" x14ac:dyDescent="0.2">
      <c r="A2966" s="42"/>
      <c r="B2966" s="79"/>
      <c r="C2966" s="40"/>
      <c r="D2966" s="40"/>
      <c r="E2966" s="40"/>
      <c r="F2966" s="41"/>
      <c r="G2966" s="98"/>
    </row>
    <row r="3035" spans="1:7" s="99" customFormat="1" ht="12.75" x14ac:dyDescent="0.2">
      <c r="A3035" s="42"/>
      <c r="B3035" s="79"/>
      <c r="C3035" s="40"/>
      <c r="D3035" s="40"/>
      <c r="E3035" s="40"/>
      <c r="F3035" s="41"/>
      <c r="G3035" s="98"/>
    </row>
    <row r="3037" spans="1:7" s="99" customFormat="1" ht="12.75" x14ac:dyDescent="0.2">
      <c r="A3037" s="42"/>
      <c r="B3037" s="79"/>
      <c r="C3037" s="40"/>
      <c r="D3037" s="40"/>
      <c r="E3037" s="40"/>
      <c r="F3037" s="41"/>
      <c r="G3037" s="98"/>
    </row>
    <row r="3039" spans="1:7" s="99" customFormat="1" ht="12.75" x14ac:dyDescent="0.2">
      <c r="A3039" s="42"/>
      <c r="B3039" s="79"/>
      <c r="C3039" s="40"/>
      <c r="D3039" s="40"/>
      <c r="E3039" s="40"/>
      <c r="F3039" s="41"/>
      <c r="G3039" s="98"/>
    </row>
    <row r="3040" spans="1:7" s="99" customFormat="1" ht="12.75" x14ac:dyDescent="0.2">
      <c r="A3040" s="42"/>
      <c r="B3040" s="79"/>
      <c r="C3040" s="40"/>
      <c r="D3040" s="40"/>
      <c r="E3040" s="40"/>
      <c r="F3040" s="41"/>
      <c r="G3040" s="98"/>
    </row>
    <row r="3041" spans="1:7" s="99" customFormat="1" ht="12.75" x14ac:dyDescent="0.2">
      <c r="A3041" s="42"/>
      <c r="B3041" s="79"/>
      <c r="C3041" s="40"/>
      <c r="D3041" s="40"/>
      <c r="E3041" s="40"/>
      <c r="F3041" s="41"/>
      <c r="G3041" s="98"/>
    </row>
    <row r="3042" spans="1:7" s="99" customFormat="1" ht="12.75" x14ac:dyDescent="0.2">
      <c r="A3042" s="42"/>
      <c r="B3042" s="79"/>
      <c r="C3042" s="40"/>
      <c r="D3042" s="40"/>
      <c r="E3042" s="40"/>
      <c r="F3042" s="41"/>
      <c r="G3042" s="98"/>
    </row>
    <row r="3043" spans="1:7" s="99" customFormat="1" ht="12.75" x14ac:dyDescent="0.2">
      <c r="A3043" s="42"/>
      <c r="B3043" s="79"/>
      <c r="C3043" s="40"/>
      <c r="D3043" s="40"/>
      <c r="E3043" s="40"/>
      <c r="F3043" s="41"/>
      <c r="G3043" s="98"/>
    </row>
    <row r="3045" spans="1:7" s="99" customFormat="1" ht="12.75" x14ac:dyDescent="0.2">
      <c r="A3045" s="42"/>
      <c r="B3045" s="79"/>
      <c r="C3045" s="40"/>
      <c r="D3045" s="40"/>
      <c r="E3045" s="40"/>
      <c r="F3045" s="41"/>
      <c r="G3045" s="98"/>
    </row>
    <row r="3047" spans="1:7" s="99" customFormat="1" ht="12.75" x14ac:dyDescent="0.2">
      <c r="A3047" s="42"/>
      <c r="B3047" s="79"/>
      <c r="C3047" s="40"/>
      <c r="D3047" s="40"/>
      <c r="E3047" s="40"/>
      <c r="F3047" s="41"/>
      <c r="G3047" s="98"/>
    </row>
    <row r="3048" spans="1:7" s="99" customFormat="1" ht="12.75" x14ac:dyDescent="0.2">
      <c r="A3048" s="42"/>
      <c r="B3048" s="79"/>
      <c r="C3048" s="40"/>
      <c r="D3048" s="40"/>
      <c r="E3048" s="40"/>
      <c r="F3048" s="41"/>
      <c r="G3048" s="98"/>
    </row>
    <row r="3049" spans="1:7" s="99" customFormat="1" ht="12.75" x14ac:dyDescent="0.2">
      <c r="A3049" s="42"/>
      <c r="B3049" s="79"/>
      <c r="C3049" s="40"/>
      <c r="D3049" s="40"/>
      <c r="E3049" s="40"/>
      <c r="F3049" s="41"/>
      <c r="G3049" s="98"/>
    </row>
    <row r="3050" spans="1:7" s="99" customFormat="1" ht="12.75" x14ac:dyDescent="0.2">
      <c r="A3050" s="42"/>
      <c r="B3050" s="79"/>
      <c r="C3050" s="40"/>
      <c r="D3050" s="40"/>
      <c r="E3050" s="40"/>
      <c r="F3050" s="41"/>
      <c r="G3050" s="98"/>
    </row>
    <row r="3083" spans="1:7" s="99" customFormat="1" ht="12.75" x14ac:dyDescent="0.2">
      <c r="A3083" s="42"/>
      <c r="B3083" s="79"/>
      <c r="C3083" s="40"/>
      <c r="D3083" s="40"/>
      <c r="E3083" s="40"/>
      <c r="F3083" s="41"/>
      <c r="G3083" s="98"/>
    </row>
    <row r="3084" spans="1:7" s="99" customFormat="1" ht="12.75" x14ac:dyDescent="0.2">
      <c r="A3084" s="42"/>
      <c r="B3084" s="79"/>
      <c r="C3084" s="40"/>
      <c r="D3084" s="40"/>
      <c r="E3084" s="40"/>
      <c r="F3084" s="41"/>
      <c r="G3084" s="98"/>
    </row>
    <row r="3085" spans="1:7" s="99" customFormat="1" ht="12.75" x14ac:dyDescent="0.2">
      <c r="A3085" s="42"/>
      <c r="B3085" s="79"/>
      <c r="C3085" s="40"/>
      <c r="D3085" s="40"/>
      <c r="E3085" s="40"/>
      <c r="F3085" s="41"/>
      <c r="G3085" s="98"/>
    </row>
    <row r="3086" spans="1:7" s="99" customFormat="1" ht="12.75" x14ac:dyDescent="0.2">
      <c r="A3086" s="42"/>
      <c r="B3086" s="79"/>
      <c r="C3086" s="40"/>
      <c r="D3086" s="40"/>
      <c r="E3086" s="40"/>
      <c r="F3086" s="41"/>
      <c r="G3086" s="98"/>
    </row>
    <row r="3087" spans="1:7" s="99" customFormat="1" ht="12.75" x14ac:dyDescent="0.2">
      <c r="A3087" s="42"/>
      <c r="B3087" s="79"/>
      <c r="C3087" s="40"/>
      <c r="D3087" s="40"/>
      <c r="E3087" s="40"/>
      <c r="F3087" s="41"/>
      <c r="G3087" s="98"/>
    </row>
    <row r="3088" spans="1:7" s="99" customFormat="1" ht="12.75" x14ac:dyDescent="0.2">
      <c r="A3088" s="42"/>
      <c r="B3088" s="79"/>
      <c r="C3088" s="40"/>
      <c r="D3088" s="40"/>
      <c r="E3088" s="40"/>
      <c r="F3088" s="41"/>
      <c r="G3088" s="98"/>
    </row>
    <row r="3089" spans="1:7" s="99" customFormat="1" ht="12.75" x14ac:dyDescent="0.2">
      <c r="A3089" s="42"/>
      <c r="B3089" s="79"/>
      <c r="C3089" s="40"/>
      <c r="D3089" s="40"/>
      <c r="E3089" s="40"/>
      <c r="F3089" s="41"/>
      <c r="G3089" s="98"/>
    </row>
    <row r="3090" spans="1:7" s="99" customFormat="1" ht="12.75" x14ac:dyDescent="0.2">
      <c r="A3090" s="42"/>
      <c r="B3090" s="79"/>
      <c r="C3090" s="40"/>
      <c r="D3090" s="40"/>
      <c r="E3090" s="40"/>
      <c r="F3090" s="41"/>
      <c r="G3090" s="98"/>
    </row>
    <row r="3091" spans="1:7" s="99" customFormat="1" ht="12.75" x14ac:dyDescent="0.2">
      <c r="A3091" s="42"/>
      <c r="B3091" s="79"/>
      <c r="C3091" s="40"/>
      <c r="D3091" s="40"/>
      <c r="E3091" s="40"/>
      <c r="F3091" s="41"/>
      <c r="G3091" s="98"/>
    </row>
    <row r="3092" spans="1:7" s="99" customFormat="1" ht="12.75" x14ac:dyDescent="0.2">
      <c r="A3092" s="42"/>
      <c r="B3092" s="79"/>
      <c r="C3092" s="40"/>
      <c r="D3092" s="40"/>
      <c r="E3092" s="40"/>
      <c r="F3092" s="41"/>
      <c r="G3092" s="98"/>
    </row>
    <row r="3093" spans="1:7" s="99" customFormat="1" ht="12.75" x14ac:dyDescent="0.2">
      <c r="A3093" s="42"/>
      <c r="B3093" s="79"/>
      <c r="C3093" s="40"/>
      <c r="D3093" s="40"/>
      <c r="E3093" s="40"/>
      <c r="F3093" s="41"/>
      <c r="G3093" s="98"/>
    </row>
    <row r="3094" spans="1:7" s="99" customFormat="1" ht="12.75" x14ac:dyDescent="0.2">
      <c r="A3094" s="42"/>
      <c r="B3094" s="79"/>
      <c r="C3094" s="40"/>
      <c r="D3094" s="40"/>
      <c r="E3094" s="40"/>
      <c r="F3094" s="41"/>
      <c r="G3094" s="98"/>
    </row>
    <row r="3095" spans="1:7" s="99" customFormat="1" ht="12.75" x14ac:dyDescent="0.2">
      <c r="A3095" s="42"/>
      <c r="B3095" s="79"/>
      <c r="C3095" s="40"/>
      <c r="D3095" s="40"/>
      <c r="E3095" s="40"/>
      <c r="F3095" s="41"/>
      <c r="G3095" s="98"/>
    </row>
    <row r="3096" spans="1:7" s="99" customFormat="1" ht="12.75" x14ac:dyDescent="0.2">
      <c r="A3096" s="42"/>
      <c r="B3096" s="79"/>
      <c r="C3096" s="40"/>
      <c r="D3096" s="40"/>
      <c r="E3096" s="40"/>
      <c r="F3096" s="41"/>
      <c r="G3096" s="98"/>
    </row>
    <row r="3097" spans="1:7" s="99" customFormat="1" ht="12.75" x14ac:dyDescent="0.2">
      <c r="A3097" s="42"/>
      <c r="B3097" s="79"/>
      <c r="C3097" s="40"/>
      <c r="D3097" s="40"/>
      <c r="E3097" s="40"/>
      <c r="F3097" s="41"/>
      <c r="G3097" s="98"/>
    </row>
    <row r="3098" spans="1:7" s="99" customFormat="1" ht="12.75" x14ac:dyDescent="0.2">
      <c r="A3098" s="42"/>
      <c r="B3098" s="79"/>
      <c r="C3098" s="40"/>
      <c r="D3098" s="40"/>
      <c r="E3098" s="40"/>
      <c r="F3098" s="41"/>
      <c r="G3098" s="98"/>
    </row>
    <row r="3131" spans="1:7" s="118" customFormat="1" ht="12.75" x14ac:dyDescent="0.2">
      <c r="A3131" s="42"/>
      <c r="B3131" s="79"/>
      <c r="C3131" s="40"/>
      <c r="D3131" s="40"/>
      <c r="E3131" s="40"/>
      <c r="F3131" s="41"/>
      <c r="G3131" s="117"/>
    </row>
    <row r="3133" spans="1:7" s="118" customFormat="1" ht="12.75" x14ac:dyDescent="0.2">
      <c r="A3133" s="42"/>
      <c r="B3133" s="79"/>
      <c r="C3133" s="40"/>
      <c r="D3133" s="40"/>
      <c r="E3133" s="40"/>
      <c r="F3133" s="41"/>
      <c r="G3133" s="117"/>
    </row>
    <row r="3134" spans="1:7" s="118" customFormat="1" ht="12.75" x14ac:dyDescent="0.2">
      <c r="A3134" s="42"/>
      <c r="B3134" s="79"/>
      <c r="C3134" s="40"/>
      <c r="D3134" s="40"/>
      <c r="E3134" s="40"/>
      <c r="F3134" s="41"/>
      <c r="G3134" s="117"/>
    </row>
    <row r="3135" spans="1:7" s="118" customFormat="1" ht="12.75" x14ac:dyDescent="0.2">
      <c r="A3135" s="42"/>
      <c r="B3135" s="79"/>
      <c r="C3135" s="40"/>
      <c r="D3135" s="40"/>
      <c r="E3135" s="40"/>
      <c r="F3135" s="41"/>
      <c r="G3135" s="117"/>
    </row>
    <row r="3136" spans="1:7" s="118" customFormat="1" ht="12.75" x14ac:dyDescent="0.2">
      <c r="A3136" s="42"/>
      <c r="B3136" s="79"/>
      <c r="C3136" s="40"/>
      <c r="D3136" s="40"/>
      <c r="E3136" s="40"/>
      <c r="F3136" s="41"/>
      <c r="G3136" s="117"/>
    </row>
    <row r="3137" spans="1:7" s="118" customFormat="1" ht="12.75" x14ac:dyDescent="0.2">
      <c r="A3137" s="42"/>
      <c r="B3137" s="79"/>
      <c r="C3137" s="40"/>
      <c r="D3137" s="40"/>
      <c r="E3137" s="40"/>
      <c r="F3137" s="41"/>
      <c r="G3137" s="117"/>
    </row>
    <row r="3138" spans="1:7" s="118" customFormat="1" ht="12.75" x14ac:dyDescent="0.2">
      <c r="A3138" s="42"/>
      <c r="B3138" s="79"/>
      <c r="C3138" s="40"/>
      <c r="D3138" s="40"/>
      <c r="E3138" s="40"/>
      <c r="F3138" s="41"/>
      <c r="G3138" s="117"/>
    </row>
    <row r="3139" spans="1:7" s="118" customFormat="1" ht="12.75" x14ac:dyDescent="0.2">
      <c r="A3139" s="42"/>
      <c r="B3139" s="79"/>
      <c r="C3139" s="40"/>
      <c r="D3139" s="40"/>
      <c r="E3139" s="40"/>
      <c r="F3139" s="41"/>
      <c r="G3139" s="117"/>
    </row>
    <row r="3140" spans="1:7" s="118" customFormat="1" ht="12.75" x14ac:dyDescent="0.2">
      <c r="A3140" s="42"/>
      <c r="B3140" s="79"/>
      <c r="C3140" s="40"/>
      <c r="D3140" s="40"/>
      <c r="E3140" s="40"/>
      <c r="F3140" s="41"/>
      <c r="G3140" s="117"/>
    </row>
    <row r="3141" spans="1:7" s="118" customFormat="1" ht="12.75" x14ac:dyDescent="0.2">
      <c r="A3141" s="42"/>
      <c r="B3141" s="79"/>
      <c r="C3141" s="40"/>
      <c r="D3141" s="40"/>
      <c r="E3141" s="40"/>
      <c r="F3141" s="41"/>
      <c r="G3141" s="117"/>
    </row>
    <row r="3142" spans="1:7" s="118" customFormat="1" ht="12.75" x14ac:dyDescent="0.2">
      <c r="A3142" s="42"/>
      <c r="B3142" s="79"/>
      <c r="C3142" s="40"/>
      <c r="D3142" s="40"/>
      <c r="E3142" s="40"/>
      <c r="F3142" s="41"/>
      <c r="G3142" s="117"/>
    </row>
    <row r="3143" spans="1:7" s="118" customFormat="1" ht="12.75" x14ac:dyDescent="0.2">
      <c r="A3143" s="42"/>
      <c r="B3143" s="79"/>
      <c r="C3143" s="40"/>
      <c r="D3143" s="40"/>
      <c r="E3143" s="40"/>
      <c r="F3143" s="41"/>
      <c r="G3143" s="117"/>
    </row>
    <row r="3144" spans="1:7" s="118" customFormat="1" ht="12.75" x14ac:dyDescent="0.2">
      <c r="A3144" s="42"/>
      <c r="B3144" s="79"/>
      <c r="C3144" s="40"/>
      <c r="D3144" s="40"/>
      <c r="E3144" s="40"/>
      <c r="F3144" s="41"/>
      <c r="G3144" s="117"/>
    </row>
    <row r="3145" spans="1:7" s="118" customFormat="1" ht="12.75" x14ac:dyDescent="0.2">
      <c r="A3145" s="42"/>
      <c r="B3145" s="79"/>
      <c r="C3145" s="40"/>
      <c r="D3145" s="40"/>
      <c r="E3145" s="40"/>
      <c r="F3145" s="41"/>
      <c r="G3145" s="117"/>
    </row>
    <row r="3146" spans="1:7" s="118" customFormat="1" ht="12.75" x14ac:dyDescent="0.2">
      <c r="A3146" s="42"/>
      <c r="B3146" s="79"/>
      <c r="C3146" s="40"/>
      <c r="D3146" s="40"/>
      <c r="E3146" s="40"/>
      <c r="F3146" s="41"/>
      <c r="G3146" s="117"/>
    </row>
    <row r="3147" spans="1:7" s="99" customFormat="1" ht="12.75" x14ac:dyDescent="0.2">
      <c r="A3147" s="42"/>
      <c r="B3147" s="79"/>
      <c r="C3147" s="40"/>
      <c r="D3147" s="40"/>
      <c r="E3147" s="40"/>
      <c r="F3147" s="41"/>
      <c r="G3147" s="98"/>
    </row>
    <row r="3149" spans="1:7" s="99" customFormat="1" ht="12.75" x14ac:dyDescent="0.2">
      <c r="A3149" s="42"/>
      <c r="B3149" s="79"/>
      <c r="C3149" s="40"/>
      <c r="D3149" s="40"/>
      <c r="E3149" s="40"/>
      <c r="F3149" s="41"/>
      <c r="G3149" s="98"/>
    </row>
    <row r="3151" spans="1:7" s="99" customFormat="1" ht="12.75" x14ac:dyDescent="0.2">
      <c r="A3151" s="42"/>
      <c r="B3151" s="79"/>
      <c r="C3151" s="40"/>
      <c r="D3151" s="40"/>
      <c r="E3151" s="40"/>
      <c r="F3151" s="41"/>
      <c r="G3151" s="98"/>
    </row>
    <row r="3153" spans="1:7" s="99" customFormat="1" ht="12.75" x14ac:dyDescent="0.2">
      <c r="A3153" s="42"/>
      <c r="B3153" s="79"/>
      <c r="C3153" s="40"/>
      <c r="D3153" s="40"/>
      <c r="E3153" s="40"/>
      <c r="F3153" s="41"/>
      <c r="G3153" s="98"/>
    </row>
    <row r="3155" spans="1:7" s="99" customFormat="1" ht="12.75" x14ac:dyDescent="0.2">
      <c r="A3155" s="42"/>
      <c r="B3155" s="79"/>
      <c r="C3155" s="40"/>
      <c r="D3155" s="40"/>
      <c r="E3155" s="40"/>
      <c r="F3155" s="41"/>
      <c r="G3155" s="98"/>
    </row>
    <row r="3259" spans="1:7" s="99" customFormat="1" ht="12.75" x14ac:dyDescent="0.2">
      <c r="A3259" s="42"/>
      <c r="B3259" s="79"/>
      <c r="C3259" s="40"/>
      <c r="D3259" s="40"/>
      <c r="E3259" s="40"/>
      <c r="F3259" s="41"/>
      <c r="G3259" s="98"/>
    </row>
    <row r="3260" spans="1:7" s="99" customFormat="1" ht="12.75" x14ac:dyDescent="0.2">
      <c r="A3260" s="42"/>
      <c r="B3260" s="79"/>
      <c r="C3260" s="40"/>
      <c r="D3260" s="40"/>
      <c r="E3260" s="40"/>
      <c r="F3260" s="41"/>
      <c r="G3260" s="98"/>
    </row>
    <row r="3262" spans="1:7" s="99" customFormat="1" ht="12.75" x14ac:dyDescent="0.2">
      <c r="A3262" s="42"/>
      <c r="B3262" s="79"/>
      <c r="C3262" s="40"/>
      <c r="D3262" s="40"/>
      <c r="E3262" s="40"/>
      <c r="F3262" s="41"/>
      <c r="G3262" s="98"/>
    </row>
    <row r="3264" spans="1:7" s="99" customFormat="1" ht="12.75" x14ac:dyDescent="0.2">
      <c r="A3264" s="42"/>
      <c r="B3264" s="79"/>
      <c r="C3264" s="40"/>
      <c r="D3264" s="40"/>
      <c r="E3264" s="40"/>
      <c r="F3264" s="41"/>
      <c r="G3264" s="98"/>
    </row>
    <row r="3266" spans="1:7" s="99" customFormat="1" ht="12.75" x14ac:dyDescent="0.2">
      <c r="A3266" s="42"/>
      <c r="B3266" s="79"/>
      <c r="C3266" s="40"/>
      <c r="D3266" s="40"/>
      <c r="E3266" s="40"/>
      <c r="F3266" s="41"/>
      <c r="G3266" s="98"/>
    </row>
    <row r="3268" spans="1:7" s="99" customFormat="1" ht="12.75" x14ac:dyDescent="0.2">
      <c r="A3268" s="42"/>
      <c r="B3268" s="79"/>
      <c r="C3268" s="40"/>
      <c r="D3268" s="40"/>
      <c r="E3268" s="40"/>
      <c r="F3268" s="41"/>
      <c r="G3268" s="98"/>
    </row>
    <row r="3269" spans="1:7" s="99" customFormat="1" ht="12.75" x14ac:dyDescent="0.2">
      <c r="A3269" s="42"/>
      <c r="B3269" s="79"/>
      <c r="C3269" s="40"/>
      <c r="D3269" s="40"/>
      <c r="E3269" s="40"/>
      <c r="F3269" s="41"/>
      <c r="G3269" s="98"/>
    </row>
    <row r="3270" spans="1:7" s="99" customFormat="1" ht="12.75" x14ac:dyDescent="0.2">
      <c r="A3270" s="42"/>
      <c r="B3270" s="79"/>
      <c r="C3270" s="40"/>
      <c r="D3270" s="40"/>
      <c r="E3270" s="40"/>
      <c r="F3270" s="41"/>
      <c r="G3270" s="98"/>
    </row>
    <row r="3271" spans="1:7" s="99" customFormat="1" ht="12.75" x14ac:dyDescent="0.2">
      <c r="A3271" s="42"/>
      <c r="B3271" s="79"/>
      <c r="C3271" s="40"/>
      <c r="D3271" s="40"/>
      <c r="E3271" s="40"/>
      <c r="F3271" s="41"/>
      <c r="G3271" s="98"/>
    </row>
    <row r="3272" spans="1:7" s="99" customFormat="1" ht="12.75" x14ac:dyDescent="0.2">
      <c r="A3272" s="42"/>
      <c r="B3272" s="79"/>
      <c r="C3272" s="40"/>
      <c r="D3272" s="40"/>
      <c r="E3272" s="40"/>
      <c r="F3272" s="41"/>
      <c r="G3272" s="98"/>
    </row>
    <row r="3273" spans="1:7" s="99" customFormat="1" ht="12.75" x14ac:dyDescent="0.2">
      <c r="A3273" s="42"/>
      <c r="B3273" s="79"/>
      <c r="C3273" s="40"/>
      <c r="D3273" s="40"/>
      <c r="E3273" s="40"/>
      <c r="F3273" s="41"/>
      <c r="G3273" s="98"/>
    </row>
    <row r="3274" spans="1:7" s="99" customFormat="1" ht="12.75" x14ac:dyDescent="0.2">
      <c r="A3274" s="42"/>
      <c r="B3274" s="79"/>
      <c r="C3274" s="40"/>
      <c r="D3274" s="40"/>
      <c r="E3274" s="40"/>
      <c r="F3274" s="41"/>
      <c r="G3274" s="98"/>
    </row>
    <row r="3291" spans="1:7" s="99" customFormat="1" ht="12.75" x14ac:dyDescent="0.2">
      <c r="A3291" s="42"/>
      <c r="B3291" s="79"/>
      <c r="C3291" s="40"/>
      <c r="D3291" s="40"/>
      <c r="E3291" s="40"/>
      <c r="F3291" s="41"/>
      <c r="G3291" s="98"/>
    </row>
    <row r="3295" spans="1:7" s="99" customFormat="1" ht="12.75" x14ac:dyDescent="0.2">
      <c r="A3295" s="42"/>
      <c r="B3295" s="79"/>
      <c r="C3295" s="40"/>
      <c r="D3295" s="40"/>
      <c r="E3295" s="40"/>
      <c r="F3295" s="41"/>
      <c r="G3295" s="98"/>
    </row>
    <row r="3296" spans="1:7" s="99" customFormat="1" ht="12.75" x14ac:dyDescent="0.2">
      <c r="A3296" s="42"/>
      <c r="B3296" s="79"/>
      <c r="C3296" s="40"/>
      <c r="D3296" s="40"/>
      <c r="E3296" s="40"/>
      <c r="F3296" s="41"/>
      <c r="G3296" s="98"/>
    </row>
    <row r="3297" spans="1:7" s="99" customFormat="1" ht="12.75" x14ac:dyDescent="0.2">
      <c r="A3297" s="42"/>
      <c r="B3297" s="79"/>
      <c r="C3297" s="40"/>
      <c r="D3297" s="40"/>
      <c r="E3297" s="40"/>
      <c r="F3297" s="41"/>
      <c r="G3297" s="98"/>
    </row>
    <row r="3299" spans="1:7" s="99" customFormat="1" ht="12.75" x14ac:dyDescent="0.2">
      <c r="A3299" s="42"/>
      <c r="B3299" s="79"/>
      <c r="C3299" s="40"/>
      <c r="D3299" s="40"/>
      <c r="E3299" s="40"/>
      <c r="F3299" s="41"/>
      <c r="G3299" s="98"/>
    </row>
    <row r="3300" spans="1:7" s="99" customFormat="1" ht="12.75" x14ac:dyDescent="0.2">
      <c r="A3300" s="42"/>
      <c r="B3300" s="79"/>
      <c r="C3300" s="40"/>
      <c r="D3300" s="40"/>
      <c r="E3300" s="40"/>
      <c r="F3300" s="41"/>
      <c r="G3300" s="98"/>
    </row>
    <row r="3301" spans="1:7" s="99" customFormat="1" ht="12.75" x14ac:dyDescent="0.2">
      <c r="A3301" s="42"/>
      <c r="B3301" s="79"/>
      <c r="C3301" s="40"/>
      <c r="D3301" s="40"/>
      <c r="E3301" s="40"/>
      <c r="F3301" s="41"/>
      <c r="G3301" s="98"/>
    </row>
    <row r="3303" spans="1:7" s="99" customFormat="1" ht="12.75" x14ac:dyDescent="0.2">
      <c r="A3303" s="42"/>
      <c r="B3303" s="79"/>
      <c r="C3303" s="40"/>
      <c r="D3303" s="40"/>
      <c r="E3303" s="40"/>
      <c r="F3303" s="41"/>
      <c r="G3303" s="98"/>
    </row>
    <row r="3304" spans="1:7" s="99" customFormat="1" ht="12.75" x14ac:dyDescent="0.2">
      <c r="A3304" s="42"/>
      <c r="B3304" s="79"/>
      <c r="C3304" s="40"/>
      <c r="D3304" s="40"/>
      <c r="E3304" s="40"/>
      <c r="F3304" s="41"/>
      <c r="G3304" s="98"/>
    </row>
    <row r="3305" spans="1:7" s="99" customFormat="1" ht="12.75" x14ac:dyDescent="0.2">
      <c r="A3305" s="42"/>
      <c r="B3305" s="79"/>
      <c r="C3305" s="40"/>
      <c r="D3305" s="40"/>
      <c r="E3305" s="40"/>
      <c r="F3305" s="41"/>
      <c r="G3305" s="98"/>
    </row>
    <row r="3306" spans="1:7" s="99" customFormat="1" ht="12.75" x14ac:dyDescent="0.2">
      <c r="A3306" s="42"/>
      <c r="B3306" s="79"/>
      <c r="C3306" s="40"/>
      <c r="D3306" s="40"/>
      <c r="E3306" s="40"/>
      <c r="F3306" s="41"/>
      <c r="G3306" s="98"/>
    </row>
    <row r="3371" spans="1:7" s="99" customFormat="1" ht="12.75" x14ac:dyDescent="0.2">
      <c r="A3371" s="42"/>
      <c r="B3371" s="79"/>
      <c r="C3371" s="40"/>
      <c r="D3371" s="40"/>
      <c r="E3371" s="40"/>
      <c r="F3371" s="41"/>
      <c r="G3371" s="98"/>
    </row>
    <row r="3372" spans="1:7" s="99" customFormat="1" ht="12.75" x14ac:dyDescent="0.2">
      <c r="A3372" s="42"/>
      <c r="B3372" s="79"/>
      <c r="C3372" s="40"/>
      <c r="D3372" s="40"/>
      <c r="E3372" s="40"/>
      <c r="F3372" s="41"/>
      <c r="G3372" s="98"/>
    </row>
    <row r="3373" spans="1:7" s="99" customFormat="1" ht="12.75" x14ac:dyDescent="0.2">
      <c r="A3373" s="42"/>
      <c r="B3373" s="79"/>
      <c r="C3373" s="40"/>
      <c r="D3373" s="40"/>
      <c r="E3373" s="40"/>
      <c r="F3373" s="41"/>
      <c r="G3373" s="98"/>
    </row>
    <row r="3374" spans="1:7" s="99" customFormat="1" ht="12.75" x14ac:dyDescent="0.2">
      <c r="A3374" s="42"/>
      <c r="B3374" s="79"/>
      <c r="C3374" s="40"/>
      <c r="D3374" s="40"/>
      <c r="E3374" s="40"/>
      <c r="F3374" s="41"/>
      <c r="G3374" s="98"/>
    </row>
    <row r="3375" spans="1:7" s="99" customFormat="1" ht="12.75" x14ac:dyDescent="0.2">
      <c r="A3375" s="42"/>
      <c r="B3375" s="79"/>
      <c r="C3375" s="40"/>
      <c r="D3375" s="40"/>
      <c r="E3375" s="40"/>
      <c r="F3375" s="41"/>
      <c r="G3375" s="98"/>
    </row>
    <row r="3376" spans="1:7" s="99" customFormat="1" ht="12.75" x14ac:dyDescent="0.2">
      <c r="A3376" s="42"/>
      <c r="B3376" s="79"/>
      <c r="C3376" s="40"/>
      <c r="D3376" s="40"/>
      <c r="E3376" s="40"/>
      <c r="F3376" s="41"/>
      <c r="G3376" s="98"/>
    </row>
    <row r="3377" spans="1:7" s="99" customFormat="1" ht="12.75" x14ac:dyDescent="0.2">
      <c r="A3377" s="42"/>
      <c r="B3377" s="79"/>
      <c r="C3377" s="40"/>
      <c r="D3377" s="40"/>
      <c r="E3377" s="40"/>
      <c r="F3377" s="41"/>
      <c r="G3377" s="98"/>
    </row>
    <row r="3378" spans="1:7" s="99" customFormat="1" ht="12.75" x14ac:dyDescent="0.2">
      <c r="A3378" s="42"/>
      <c r="B3378" s="79"/>
      <c r="C3378" s="40"/>
      <c r="D3378" s="40"/>
      <c r="E3378" s="40"/>
      <c r="F3378" s="41"/>
      <c r="G3378" s="98"/>
    </row>
    <row r="3379" spans="1:7" s="99" customFormat="1" ht="12.75" x14ac:dyDescent="0.2">
      <c r="A3379" s="42"/>
      <c r="B3379" s="79"/>
      <c r="C3379" s="40"/>
      <c r="D3379" s="40"/>
      <c r="E3379" s="40"/>
      <c r="F3379" s="41"/>
      <c r="G3379" s="98"/>
    </row>
    <row r="3380" spans="1:7" s="99" customFormat="1" ht="12.75" x14ac:dyDescent="0.2">
      <c r="A3380" s="42"/>
      <c r="B3380" s="79"/>
      <c r="C3380" s="40"/>
      <c r="D3380" s="40"/>
      <c r="E3380" s="40"/>
      <c r="F3380" s="41"/>
      <c r="G3380" s="98"/>
    </row>
    <row r="3381" spans="1:7" s="99" customFormat="1" ht="12.75" x14ac:dyDescent="0.2">
      <c r="A3381" s="42"/>
      <c r="B3381" s="79"/>
      <c r="C3381" s="40"/>
      <c r="D3381" s="40"/>
      <c r="E3381" s="40"/>
      <c r="F3381" s="41"/>
      <c r="G3381" s="98"/>
    </row>
    <row r="3382" spans="1:7" s="99" customFormat="1" ht="12.75" x14ac:dyDescent="0.2">
      <c r="A3382" s="42"/>
      <c r="B3382" s="79"/>
      <c r="C3382" s="40"/>
      <c r="D3382" s="40"/>
      <c r="E3382" s="40"/>
      <c r="F3382" s="41"/>
      <c r="G3382" s="98"/>
    </row>
    <row r="3383" spans="1:7" s="99" customFormat="1" ht="12.75" x14ac:dyDescent="0.2">
      <c r="A3383" s="42"/>
      <c r="B3383" s="79"/>
      <c r="C3383" s="40"/>
      <c r="D3383" s="40"/>
      <c r="E3383" s="40"/>
      <c r="F3383" s="41"/>
      <c r="G3383" s="98"/>
    </row>
    <row r="3384" spans="1:7" s="99" customFormat="1" ht="12.75" x14ac:dyDescent="0.2">
      <c r="A3384" s="42"/>
      <c r="B3384" s="79"/>
      <c r="C3384" s="40"/>
      <c r="D3384" s="40"/>
      <c r="E3384" s="40"/>
      <c r="F3384" s="41"/>
      <c r="G3384" s="98"/>
    </row>
    <row r="3385" spans="1:7" s="99" customFormat="1" ht="12.75" x14ac:dyDescent="0.2">
      <c r="A3385" s="42"/>
      <c r="B3385" s="79"/>
      <c r="C3385" s="40"/>
      <c r="D3385" s="40"/>
      <c r="E3385" s="40"/>
      <c r="F3385" s="41"/>
      <c r="G3385" s="98"/>
    </row>
    <row r="3386" spans="1:7" s="99" customFormat="1" ht="12.75" x14ac:dyDescent="0.2">
      <c r="A3386" s="42"/>
      <c r="B3386" s="79"/>
      <c r="C3386" s="40"/>
      <c r="D3386" s="40"/>
      <c r="E3386" s="40"/>
      <c r="F3386" s="41"/>
      <c r="G3386" s="98"/>
    </row>
    <row r="3403" spans="1:7" s="99" customFormat="1" ht="12.75" x14ac:dyDescent="0.2">
      <c r="A3403" s="42"/>
      <c r="B3403" s="79"/>
      <c r="C3403" s="40"/>
      <c r="D3403" s="40"/>
      <c r="E3403" s="40"/>
      <c r="F3403" s="41"/>
      <c r="G3403" s="98"/>
    </row>
    <row r="3404" spans="1:7" s="99" customFormat="1" ht="12.75" x14ac:dyDescent="0.2">
      <c r="A3404" s="42"/>
      <c r="B3404" s="79"/>
      <c r="C3404" s="40"/>
      <c r="D3404" s="40"/>
      <c r="E3404" s="40"/>
      <c r="F3404" s="41"/>
      <c r="G3404" s="98"/>
    </row>
    <row r="3405" spans="1:7" s="99" customFormat="1" ht="12.75" x14ac:dyDescent="0.2">
      <c r="A3405" s="42"/>
      <c r="B3405" s="79"/>
      <c r="C3405" s="40"/>
      <c r="D3405" s="40"/>
      <c r="E3405" s="40"/>
      <c r="F3405" s="41"/>
      <c r="G3405" s="98"/>
    </row>
    <row r="3406" spans="1:7" s="99" customFormat="1" ht="12.75" x14ac:dyDescent="0.2">
      <c r="A3406" s="42"/>
      <c r="B3406" s="79"/>
      <c r="C3406" s="40"/>
      <c r="D3406" s="40"/>
      <c r="E3406" s="40"/>
      <c r="F3406" s="41"/>
      <c r="G3406" s="98"/>
    </row>
    <row r="3407" spans="1:7" s="99" customFormat="1" ht="12.75" x14ac:dyDescent="0.2">
      <c r="A3407" s="42"/>
      <c r="B3407" s="79"/>
      <c r="C3407" s="40"/>
      <c r="D3407" s="40"/>
      <c r="E3407" s="40"/>
      <c r="F3407" s="41"/>
      <c r="G3407" s="98"/>
    </row>
    <row r="3408" spans="1:7" s="99" customFormat="1" ht="12.75" x14ac:dyDescent="0.2">
      <c r="A3408" s="42"/>
      <c r="B3408" s="79"/>
      <c r="C3408" s="40"/>
      <c r="D3408" s="40"/>
      <c r="E3408" s="40"/>
      <c r="F3408" s="41"/>
      <c r="G3408" s="98"/>
    </row>
    <row r="3409" spans="1:7" s="99" customFormat="1" ht="12.75" x14ac:dyDescent="0.2">
      <c r="A3409" s="42"/>
      <c r="B3409" s="79"/>
      <c r="C3409" s="40"/>
      <c r="D3409" s="40"/>
      <c r="E3409" s="40"/>
      <c r="F3409" s="41"/>
      <c r="G3409" s="98"/>
    </row>
    <row r="3410" spans="1:7" s="99" customFormat="1" ht="12.75" x14ac:dyDescent="0.2">
      <c r="A3410" s="42"/>
      <c r="B3410" s="79"/>
      <c r="C3410" s="40"/>
      <c r="D3410" s="40"/>
      <c r="E3410" s="40"/>
      <c r="F3410" s="41"/>
      <c r="G3410" s="98"/>
    </row>
    <row r="3411" spans="1:7" s="99" customFormat="1" ht="12.75" x14ac:dyDescent="0.2">
      <c r="A3411" s="42"/>
      <c r="B3411" s="79"/>
      <c r="C3411" s="40"/>
      <c r="D3411" s="40"/>
      <c r="E3411" s="40"/>
      <c r="F3411" s="41"/>
      <c r="G3411" s="98"/>
    </row>
    <row r="3412" spans="1:7" s="99" customFormat="1" ht="12.75" x14ac:dyDescent="0.2">
      <c r="A3412" s="42"/>
      <c r="B3412" s="79"/>
      <c r="C3412" s="40"/>
      <c r="D3412" s="40"/>
      <c r="E3412" s="40"/>
      <c r="F3412" s="41"/>
      <c r="G3412" s="98"/>
    </row>
    <row r="3413" spans="1:7" s="99" customFormat="1" ht="12.75" x14ac:dyDescent="0.2">
      <c r="A3413" s="42"/>
      <c r="B3413" s="79"/>
      <c r="C3413" s="40"/>
      <c r="D3413" s="40"/>
      <c r="E3413" s="40"/>
      <c r="F3413" s="41"/>
      <c r="G3413" s="98"/>
    </row>
    <row r="3414" spans="1:7" s="99" customFormat="1" ht="12.75" x14ac:dyDescent="0.2">
      <c r="A3414" s="42"/>
      <c r="B3414" s="79"/>
      <c r="C3414" s="40"/>
      <c r="D3414" s="40"/>
      <c r="E3414" s="40"/>
      <c r="F3414" s="41"/>
      <c r="G3414" s="98"/>
    </row>
    <row r="3415" spans="1:7" s="99" customFormat="1" ht="12.75" x14ac:dyDescent="0.2">
      <c r="A3415" s="42"/>
      <c r="B3415" s="79"/>
      <c r="C3415" s="40"/>
      <c r="D3415" s="40"/>
      <c r="E3415" s="40"/>
      <c r="F3415" s="41"/>
      <c r="G3415" s="98"/>
    </row>
    <row r="3416" spans="1:7" s="99" customFormat="1" ht="12.75" x14ac:dyDescent="0.2">
      <c r="A3416" s="42"/>
      <c r="B3416" s="79"/>
      <c r="C3416" s="40"/>
      <c r="D3416" s="40"/>
      <c r="E3416" s="40"/>
      <c r="F3416" s="41"/>
      <c r="G3416" s="98"/>
    </row>
    <row r="3417" spans="1:7" s="99" customFormat="1" ht="12.75" x14ac:dyDescent="0.2">
      <c r="A3417" s="42"/>
      <c r="B3417" s="79"/>
      <c r="C3417" s="40"/>
      <c r="D3417" s="40"/>
      <c r="E3417" s="40"/>
      <c r="F3417" s="41"/>
      <c r="G3417" s="98"/>
    </row>
    <row r="3418" spans="1:7" s="99" customFormat="1" ht="12.75" x14ac:dyDescent="0.2">
      <c r="A3418" s="42"/>
      <c r="B3418" s="79"/>
      <c r="C3418" s="40"/>
      <c r="D3418" s="40"/>
      <c r="E3418" s="40"/>
      <c r="F3418" s="41"/>
      <c r="G3418" s="98"/>
    </row>
    <row r="3419" spans="1:7" s="99" customFormat="1" ht="12.75" x14ac:dyDescent="0.2">
      <c r="A3419" s="42"/>
      <c r="B3419" s="79"/>
      <c r="C3419" s="40"/>
      <c r="D3419" s="40"/>
      <c r="E3419" s="40"/>
      <c r="F3419" s="41"/>
      <c r="G3419" s="98"/>
    </row>
    <row r="3420" spans="1:7" s="99" customFormat="1" ht="12.75" x14ac:dyDescent="0.2">
      <c r="A3420" s="42"/>
      <c r="B3420" s="79"/>
      <c r="C3420" s="40"/>
      <c r="D3420" s="40"/>
      <c r="E3420" s="40"/>
      <c r="F3420" s="41"/>
      <c r="G3420" s="98"/>
    </row>
    <row r="3421" spans="1:7" s="99" customFormat="1" ht="12.75" x14ac:dyDescent="0.2">
      <c r="A3421" s="42"/>
      <c r="B3421" s="79"/>
      <c r="C3421" s="40"/>
      <c r="D3421" s="40"/>
      <c r="E3421" s="40"/>
      <c r="F3421" s="41"/>
      <c r="G3421" s="98"/>
    </row>
    <row r="3422" spans="1:7" s="99" customFormat="1" ht="12.75" x14ac:dyDescent="0.2">
      <c r="A3422" s="42"/>
      <c r="B3422" s="79"/>
      <c r="C3422" s="40"/>
      <c r="D3422" s="40"/>
      <c r="E3422" s="40"/>
      <c r="F3422" s="41"/>
      <c r="G3422" s="98"/>
    </row>
    <row r="3423" spans="1:7" s="99" customFormat="1" ht="12.75" x14ac:dyDescent="0.2">
      <c r="A3423" s="42"/>
      <c r="B3423" s="79"/>
      <c r="C3423" s="40"/>
      <c r="D3423" s="40"/>
      <c r="E3423" s="40"/>
      <c r="F3423" s="41"/>
      <c r="G3423" s="98"/>
    </row>
    <row r="3424" spans="1:7" s="99" customFormat="1" ht="12.75" x14ac:dyDescent="0.2">
      <c r="A3424" s="42"/>
      <c r="B3424" s="79"/>
      <c r="C3424" s="40"/>
      <c r="D3424" s="40"/>
      <c r="E3424" s="40"/>
      <c r="F3424" s="41"/>
      <c r="G3424" s="98"/>
    </row>
    <row r="3425" spans="1:7" s="99" customFormat="1" ht="12.75" x14ac:dyDescent="0.2">
      <c r="A3425" s="42"/>
      <c r="B3425" s="79"/>
      <c r="C3425" s="40"/>
      <c r="D3425" s="40"/>
      <c r="E3425" s="40"/>
      <c r="F3425" s="41"/>
      <c r="G3425" s="98"/>
    </row>
    <row r="3426" spans="1:7" s="99" customFormat="1" ht="12.75" x14ac:dyDescent="0.2">
      <c r="A3426" s="42"/>
      <c r="B3426" s="79"/>
      <c r="C3426" s="40"/>
      <c r="D3426" s="40"/>
      <c r="E3426" s="40"/>
      <c r="F3426" s="41"/>
      <c r="G3426" s="98"/>
    </row>
    <row r="3427" spans="1:7" s="99" customFormat="1" ht="12.75" x14ac:dyDescent="0.2">
      <c r="A3427" s="42"/>
      <c r="B3427" s="79"/>
      <c r="C3427" s="40"/>
      <c r="D3427" s="40"/>
      <c r="E3427" s="40"/>
      <c r="F3427" s="41"/>
      <c r="G3427" s="98"/>
    </row>
    <row r="3428" spans="1:7" s="99" customFormat="1" ht="12.75" x14ac:dyDescent="0.2">
      <c r="A3428" s="42"/>
      <c r="B3428" s="79"/>
      <c r="C3428" s="40"/>
      <c r="D3428" s="40"/>
      <c r="E3428" s="40"/>
      <c r="F3428" s="41"/>
      <c r="G3428" s="98"/>
    </row>
    <row r="3429" spans="1:7" s="99" customFormat="1" ht="12.75" x14ac:dyDescent="0.2">
      <c r="A3429" s="42"/>
      <c r="B3429" s="79"/>
      <c r="C3429" s="40"/>
      <c r="D3429" s="40"/>
      <c r="E3429" s="40"/>
      <c r="F3429" s="41"/>
      <c r="G3429" s="98"/>
    </row>
    <row r="3430" spans="1:7" s="99" customFormat="1" ht="12.75" x14ac:dyDescent="0.2">
      <c r="A3430" s="42"/>
      <c r="B3430" s="79"/>
      <c r="C3430" s="40"/>
      <c r="D3430" s="40"/>
      <c r="E3430" s="40"/>
      <c r="F3430" s="41"/>
      <c r="G3430" s="98"/>
    </row>
    <row r="3431" spans="1:7" s="99" customFormat="1" ht="12.75" x14ac:dyDescent="0.2">
      <c r="A3431" s="42"/>
      <c r="B3431" s="79"/>
      <c r="C3431" s="40"/>
      <c r="D3431" s="40"/>
      <c r="E3431" s="40"/>
      <c r="F3431" s="41"/>
      <c r="G3431" s="98"/>
    </row>
    <row r="3432" spans="1:7" s="99" customFormat="1" ht="12.75" x14ac:dyDescent="0.2">
      <c r="A3432" s="42"/>
      <c r="B3432" s="79"/>
      <c r="C3432" s="40"/>
      <c r="D3432" s="40"/>
      <c r="E3432" s="40"/>
      <c r="F3432" s="41"/>
      <c r="G3432" s="98"/>
    </row>
    <row r="3433" spans="1:7" s="99" customFormat="1" ht="12.75" x14ac:dyDescent="0.2">
      <c r="A3433" s="42"/>
      <c r="B3433" s="79"/>
      <c r="C3433" s="40"/>
      <c r="D3433" s="40"/>
      <c r="E3433" s="40"/>
      <c r="F3433" s="41"/>
      <c r="G3433" s="98"/>
    </row>
    <row r="3434" spans="1:7" s="99" customFormat="1" ht="12.75" x14ac:dyDescent="0.2">
      <c r="A3434" s="42"/>
      <c r="B3434" s="79"/>
      <c r="C3434" s="40"/>
      <c r="D3434" s="40"/>
      <c r="E3434" s="40"/>
      <c r="F3434" s="41"/>
      <c r="G3434" s="98"/>
    </row>
    <row r="3451" spans="1:7" s="99" customFormat="1" ht="12.75" x14ac:dyDescent="0.2">
      <c r="A3451" s="42"/>
      <c r="B3451" s="79"/>
      <c r="C3451" s="40"/>
      <c r="D3451" s="40"/>
      <c r="E3451" s="40"/>
      <c r="F3451" s="41"/>
      <c r="G3451" s="98"/>
    </row>
    <row r="3452" spans="1:7" s="99" customFormat="1" ht="12.75" x14ac:dyDescent="0.2">
      <c r="A3452" s="42"/>
      <c r="B3452" s="79"/>
      <c r="C3452" s="40"/>
      <c r="D3452" s="40"/>
      <c r="E3452" s="40"/>
      <c r="F3452" s="41"/>
      <c r="G3452" s="98"/>
    </row>
    <row r="3453" spans="1:7" s="99" customFormat="1" ht="12.75" x14ac:dyDescent="0.2">
      <c r="A3453" s="42"/>
      <c r="B3453" s="79"/>
      <c r="C3453" s="40"/>
      <c r="D3453" s="40"/>
      <c r="E3453" s="40"/>
      <c r="F3453" s="41"/>
      <c r="G3453" s="98"/>
    </row>
    <row r="3454" spans="1:7" s="99" customFormat="1" ht="12.75" x14ac:dyDescent="0.2">
      <c r="A3454" s="42"/>
      <c r="B3454" s="79"/>
      <c r="C3454" s="40"/>
      <c r="D3454" s="40"/>
      <c r="E3454" s="40"/>
      <c r="F3454" s="41"/>
      <c r="G3454" s="98"/>
    </row>
    <row r="3455" spans="1:7" s="99" customFormat="1" ht="12.75" x14ac:dyDescent="0.2">
      <c r="A3455" s="42"/>
      <c r="B3455" s="79"/>
      <c r="C3455" s="40"/>
      <c r="D3455" s="40"/>
      <c r="E3455" s="40"/>
      <c r="F3455" s="41"/>
      <c r="G3455" s="98"/>
    </row>
    <row r="3456" spans="1:7" s="99" customFormat="1" ht="12.75" x14ac:dyDescent="0.2">
      <c r="A3456" s="42"/>
      <c r="B3456" s="79"/>
      <c r="C3456" s="40"/>
      <c r="D3456" s="40"/>
      <c r="E3456" s="40"/>
      <c r="F3456" s="41"/>
      <c r="G3456" s="98"/>
    </row>
    <row r="3457" spans="1:7" s="99" customFormat="1" ht="12.75" x14ac:dyDescent="0.2">
      <c r="A3457" s="42"/>
      <c r="B3457" s="79"/>
      <c r="C3457" s="40"/>
      <c r="D3457" s="40"/>
      <c r="E3457" s="40"/>
      <c r="F3457" s="41"/>
      <c r="G3457" s="98"/>
    </row>
    <row r="3458" spans="1:7" s="99" customFormat="1" ht="12.75" x14ac:dyDescent="0.2">
      <c r="A3458" s="42"/>
      <c r="B3458" s="79"/>
      <c r="C3458" s="40"/>
      <c r="D3458" s="40"/>
      <c r="E3458" s="40"/>
      <c r="F3458" s="41"/>
      <c r="G3458" s="98"/>
    </row>
    <row r="3459" spans="1:7" s="99" customFormat="1" ht="12.75" x14ac:dyDescent="0.2">
      <c r="A3459" s="42"/>
      <c r="B3459" s="79"/>
      <c r="C3459" s="40"/>
      <c r="D3459" s="40"/>
      <c r="E3459" s="40"/>
      <c r="F3459" s="41"/>
      <c r="G3459" s="98"/>
    </row>
    <row r="3460" spans="1:7" s="99" customFormat="1" ht="12.75" x14ac:dyDescent="0.2">
      <c r="A3460" s="42"/>
      <c r="B3460" s="79"/>
      <c r="C3460" s="40"/>
      <c r="D3460" s="40"/>
      <c r="E3460" s="40"/>
      <c r="F3460" s="41"/>
      <c r="G3460" s="98"/>
    </row>
    <row r="3461" spans="1:7" s="99" customFormat="1" ht="12.75" x14ac:dyDescent="0.2">
      <c r="A3461" s="42"/>
      <c r="B3461" s="79"/>
      <c r="C3461" s="40"/>
      <c r="D3461" s="40"/>
      <c r="E3461" s="40"/>
      <c r="F3461" s="41"/>
      <c r="G3461" s="98"/>
    </row>
    <row r="3462" spans="1:7" s="99" customFormat="1" ht="12.75" x14ac:dyDescent="0.2">
      <c r="A3462" s="42"/>
      <c r="B3462" s="79"/>
      <c r="C3462" s="40"/>
      <c r="D3462" s="40"/>
      <c r="E3462" s="40"/>
      <c r="F3462" s="41"/>
      <c r="G3462" s="98"/>
    </row>
    <row r="3463" spans="1:7" s="99" customFormat="1" ht="12.75" x14ac:dyDescent="0.2">
      <c r="A3463" s="42"/>
      <c r="B3463" s="79"/>
      <c r="C3463" s="40"/>
      <c r="D3463" s="40"/>
      <c r="E3463" s="40"/>
      <c r="F3463" s="41"/>
      <c r="G3463" s="98"/>
    </row>
    <row r="3532" spans="1:7" s="99" customFormat="1" ht="12.75" x14ac:dyDescent="0.2">
      <c r="A3532" s="42"/>
      <c r="B3532" s="79"/>
      <c r="C3532" s="40"/>
      <c r="D3532" s="40"/>
      <c r="E3532" s="40"/>
      <c r="F3532" s="41"/>
      <c r="G3532" s="98"/>
    </row>
    <row r="3534" spans="1:7" s="99" customFormat="1" ht="12.75" x14ac:dyDescent="0.2">
      <c r="A3534" s="42"/>
      <c r="B3534" s="79"/>
      <c r="C3534" s="40"/>
      <c r="D3534" s="40"/>
      <c r="E3534" s="40"/>
      <c r="F3534" s="41"/>
      <c r="G3534" s="98"/>
    </row>
    <row r="3536" spans="1:7" s="99" customFormat="1" ht="12.75" x14ac:dyDescent="0.2">
      <c r="A3536" s="42"/>
      <c r="B3536" s="79"/>
      <c r="C3536" s="40"/>
      <c r="D3536" s="40"/>
      <c r="E3536" s="40"/>
      <c r="F3536" s="41"/>
      <c r="G3536" s="98"/>
    </row>
    <row r="3537" spans="1:7" s="99" customFormat="1" ht="12.75" x14ac:dyDescent="0.2">
      <c r="A3537" s="42"/>
      <c r="B3537" s="79"/>
      <c r="C3537" s="40"/>
      <c r="D3537" s="40"/>
      <c r="E3537" s="40"/>
      <c r="F3537" s="41"/>
      <c r="G3537" s="98"/>
    </row>
    <row r="3538" spans="1:7" s="99" customFormat="1" ht="12.75" x14ac:dyDescent="0.2">
      <c r="A3538" s="42"/>
      <c r="B3538" s="79"/>
      <c r="C3538" s="40"/>
      <c r="D3538" s="40"/>
      <c r="E3538" s="40"/>
      <c r="F3538" s="41"/>
      <c r="G3538" s="98"/>
    </row>
    <row r="3539" spans="1:7" s="99" customFormat="1" ht="12.75" x14ac:dyDescent="0.2">
      <c r="A3539" s="42"/>
      <c r="B3539" s="79"/>
      <c r="C3539" s="40"/>
      <c r="D3539" s="40"/>
      <c r="E3539" s="40"/>
      <c r="F3539" s="41"/>
      <c r="G3539" s="98"/>
    </row>
    <row r="3540" spans="1:7" s="99" customFormat="1" ht="12.75" x14ac:dyDescent="0.2">
      <c r="A3540" s="42"/>
      <c r="B3540" s="79"/>
      <c r="C3540" s="40"/>
      <c r="D3540" s="40"/>
      <c r="E3540" s="40"/>
      <c r="F3540" s="41"/>
      <c r="G3540" s="98"/>
    </row>
    <row r="3542" spans="1:7" s="99" customFormat="1" ht="12.75" x14ac:dyDescent="0.2">
      <c r="A3542" s="42"/>
      <c r="B3542" s="79"/>
      <c r="C3542" s="40"/>
      <c r="D3542" s="40"/>
      <c r="E3542" s="40"/>
      <c r="F3542" s="41"/>
      <c r="G3542" s="98"/>
    </row>
    <row r="3544" spans="1:7" s="99" customFormat="1" ht="12.75" x14ac:dyDescent="0.2">
      <c r="A3544" s="42"/>
      <c r="B3544" s="79"/>
      <c r="C3544" s="40"/>
      <c r="D3544" s="40"/>
      <c r="E3544" s="40"/>
      <c r="F3544" s="41"/>
      <c r="G3544" s="98"/>
    </row>
    <row r="3545" spans="1:7" s="99" customFormat="1" ht="12.75" x14ac:dyDescent="0.2">
      <c r="A3545" s="42"/>
      <c r="B3545" s="79"/>
      <c r="C3545" s="40"/>
      <c r="D3545" s="40"/>
      <c r="E3545" s="40"/>
      <c r="F3545" s="41"/>
      <c r="G3545" s="98"/>
    </row>
    <row r="3546" spans="1:7" s="99" customFormat="1" ht="12.75" x14ac:dyDescent="0.2">
      <c r="A3546" s="42"/>
      <c r="B3546" s="79"/>
      <c r="C3546" s="40"/>
      <c r="D3546" s="40"/>
      <c r="E3546" s="40"/>
      <c r="F3546" s="41"/>
      <c r="G3546" s="98"/>
    </row>
    <row r="3579" spans="1:7" s="99" customFormat="1" ht="12.75" x14ac:dyDescent="0.2">
      <c r="A3579" s="42"/>
      <c r="B3579" s="79"/>
      <c r="C3579" s="40"/>
      <c r="D3579" s="40"/>
      <c r="E3579" s="40"/>
      <c r="F3579" s="41"/>
      <c r="G3579" s="98"/>
    </row>
    <row r="3580" spans="1:7" s="99" customFormat="1" ht="12.75" x14ac:dyDescent="0.2">
      <c r="A3580" s="42"/>
      <c r="B3580" s="79"/>
      <c r="C3580" s="40"/>
      <c r="D3580" s="40"/>
      <c r="E3580" s="40"/>
      <c r="F3580" s="41"/>
      <c r="G3580" s="98"/>
    </row>
    <row r="3581" spans="1:7" s="99" customFormat="1" ht="12.75" x14ac:dyDescent="0.2">
      <c r="A3581" s="42"/>
      <c r="B3581" s="79"/>
      <c r="C3581" s="40"/>
      <c r="D3581" s="40"/>
      <c r="E3581" s="40"/>
      <c r="F3581" s="41"/>
      <c r="G3581" s="98"/>
    </row>
    <row r="3582" spans="1:7" s="99" customFormat="1" ht="12.75" x14ac:dyDescent="0.2">
      <c r="A3582" s="42"/>
      <c r="B3582" s="79"/>
      <c r="C3582" s="40"/>
      <c r="D3582" s="40"/>
      <c r="E3582" s="40"/>
      <c r="F3582" s="41"/>
      <c r="G3582" s="98"/>
    </row>
    <row r="3583" spans="1:7" s="99" customFormat="1" ht="12.75" x14ac:dyDescent="0.2">
      <c r="A3583" s="42"/>
      <c r="B3583" s="79"/>
      <c r="C3583" s="40"/>
      <c r="D3583" s="40"/>
      <c r="E3583" s="40"/>
      <c r="F3583" s="41"/>
      <c r="G3583" s="98"/>
    </row>
    <row r="3584" spans="1:7" s="99" customFormat="1" ht="12.75" x14ac:dyDescent="0.2">
      <c r="A3584" s="42"/>
      <c r="B3584" s="79"/>
      <c r="C3584" s="40"/>
      <c r="D3584" s="40"/>
      <c r="E3584" s="40"/>
      <c r="F3584" s="41"/>
      <c r="G3584" s="98"/>
    </row>
    <row r="3585" spans="1:7" s="99" customFormat="1" ht="12.75" x14ac:dyDescent="0.2">
      <c r="A3585" s="42"/>
      <c r="B3585" s="79"/>
      <c r="C3585" s="40"/>
      <c r="D3585" s="40"/>
      <c r="E3585" s="40"/>
      <c r="F3585" s="41"/>
      <c r="G3585" s="98"/>
    </row>
    <row r="3586" spans="1:7" s="99" customFormat="1" ht="12.75" x14ac:dyDescent="0.2">
      <c r="A3586" s="42"/>
      <c r="B3586" s="79"/>
      <c r="C3586" s="40"/>
      <c r="D3586" s="40"/>
      <c r="E3586" s="40"/>
      <c r="F3586" s="41"/>
      <c r="G3586" s="98"/>
    </row>
    <row r="3587" spans="1:7" s="99" customFormat="1" ht="12.75" x14ac:dyDescent="0.2">
      <c r="A3587" s="42"/>
      <c r="B3587" s="79"/>
      <c r="C3587" s="40"/>
      <c r="D3587" s="40"/>
      <c r="E3587" s="40"/>
      <c r="F3587" s="41"/>
      <c r="G3587" s="98"/>
    </row>
    <row r="3588" spans="1:7" s="99" customFormat="1" ht="12.75" x14ac:dyDescent="0.2">
      <c r="A3588" s="42"/>
      <c r="B3588" s="79"/>
      <c r="C3588" s="40"/>
      <c r="D3588" s="40"/>
      <c r="E3588" s="40"/>
      <c r="F3588" s="41"/>
      <c r="G3588" s="98"/>
    </row>
    <row r="3589" spans="1:7" s="99" customFormat="1" ht="12.75" x14ac:dyDescent="0.2">
      <c r="A3589" s="42"/>
      <c r="B3589" s="79"/>
      <c r="C3589" s="40"/>
      <c r="D3589" s="40"/>
      <c r="E3589" s="40"/>
      <c r="F3589" s="41"/>
      <c r="G3589" s="98"/>
    </row>
    <row r="3590" spans="1:7" s="99" customFormat="1" ht="12.75" x14ac:dyDescent="0.2">
      <c r="A3590" s="42"/>
      <c r="B3590" s="79"/>
      <c r="C3590" s="40"/>
      <c r="D3590" s="40"/>
      <c r="E3590" s="40"/>
      <c r="F3590" s="41"/>
      <c r="G3590" s="98"/>
    </row>
    <row r="3591" spans="1:7" s="99" customFormat="1" ht="12.75" x14ac:dyDescent="0.2">
      <c r="A3591" s="42"/>
      <c r="B3591" s="79"/>
      <c r="C3591" s="40"/>
      <c r="D3591" s="40"/>
      <c r="E3591" s="40"/>
      <c r="F3591" s="41"/>
      <c r="G3591" s="98"/>
    </row>
    <row r="3592" spans="1:7" s="99" customFormat="1" ht="12.75" x14ac:dyDescent="0.2">
      <c r="A3592" s="42"/>
      <c r="B3592" s="79"/>
      <c r="C3592" s="40"/>
      <c r="D3592" s="40"/>
      <c r="E3592" s="40"/>
      <c r="F3592" s="41"/>
      <c r="G3592" s="98"/>
    </row>
    <row r="3593" spans="1:7" s="99" customFormat="1" ht="12.75" x14ac:dyDescent="0.2">
      <c r="A3593" s="42"/>
      <c r="B3593" s="79"/>
      <c r="C3593" s="40"/>
      <c r="D3593" s="40"/>
      <c r="E3593" s="40"/>
      <c r="F3593" s="41"/>
      <c r="G3593" s="98"/>
    </row>
    <row r="3594" spans="1:7" s="99" customFormat="1" ht="12.75" x14ac:dyDescent="0.2">
      <c r="A3594" s="42"/>
      <c r="B3594" s="79"/>
      <c r="C3594" s="40"/>
      <c r="D3594" s="40"/>
      <c r="E3594" s="40"/>
      <c r="F3594" s="41"/>
      <c r="G3594" s="98"/>
    </row>
    <row r="3628" spans="1:7" s="118" customFormat="1" ht="12.75" x14ac:dyDescent="0.2">
      <c r="A3628" s="42"/>
      <c r="B3628" s="79"/>
      <c r="C3628" s="40"/>
      <c r="D3628" s="40"/>
      <c r="E3628" s="40"/>
      <c r="F3628" s="41"/>
      <c r="G3628" s="117"/>
    </row>
    <row r="3630" spans="1:7" s="118" customFormat="1" ht="12.75" x14ac:dyDescent="0.2">
      <c r="A3630" s="42"/>
      <c r="B3630" s="79"/>
      <c r="C3630" s="40"/>
      <c r="D3630" s="40"/>
      <c r="E3630" s="40"/>
      <c r="F3630" s="41"/>
      <c r="G3630" s="117"/>
    </row>
    <row r="3631" spans="1:7" s="118" customFormat="1" ht="12.75" x14ac:dyDescent="0.2">
      <c r="A3631" s="42"/>
      <c r="B3631" s="79"/>
      <c r="C3631" s="40"/>
      <c r="D3631" s="40"/>
      <c r="E3631" s="40"/>
      <c r="F3631" s="41"/>
      <c r="G3631" s="117"/>
    </row>
    <row r="3632" spans="1:7" s="118" customFormat="1" ht="12.75" x14ac:dyDescent="0.2">
      <c r="A3632" s="42"/>
      <c r="B3632" s="79"/>
      <c r="C3632" s="40"/>
      <c r="D3632" s="40"/>
      <c r="E3632" s="40"/>
      <c r="F3632" s="41"/>
      <c r="G3632" s="117"/>
    </row>
    <row r="3633" spans="1:7" s="118" customFormat="1" ht="12.75" x14ac:dyDescent="0.2">
      <c r="A3633" s="42"/>
      <c r="B3633" s="79"/>
      <c r="C3633" s="40"/>
      <c r="D3633" s="40"/>
      <c r="E3633" s="40"/>
      <c r="F3633" s="41"/>
      <c r="G3633" s="117"/>
    </row>
    <row r="3634" spans="1:7" s="118" customFormat="1" ht="12.75" x14ac:dyDescent="0.2">
      <c r="A3634" s="42"/>
      <c r="B3634" s="79"/>
      <c r="C3634" s="40"/>
      <c r="D3634" s="40"/>
      <c r="E3634" s="40"/>
      <c r="F3634" s="41"/>
      <c r="G3634" s="117"/>
    </row>
    <row r="3635" spans="1:7" s="118" customFormat="1" ht="12.75" x14ac:dyDescent="0.2">
      <c r="A3635" s="42"/>
      <c r="B3635" s="79"/>
      <c r="C3635" s="40"/>
      <c r="D3635" s="40"/>
      <c r="E3635" s="40"/>
      <c r="F3635" s="41"/>
      <c r="G3635" s="117"/>
    </row>
    <row r="3636" spans="1:7" s="118" customFormat="1" ht="12.75" x14ac:dyDescent="0.2">
      <c r="A3636" s="42"/>
      <c r="B3636" s="79"/>
      <c r="C3636" s="40"/>
      <c r="D3636" s="40"/>
      <c r="E3636" s="40"/>
      <c r="F3636" s="41"/>
      <c r="G3636" s="117"/>
    </row>
    <row r="3637" spans="1:7" s="118" customFormat="1" ht="12.75" x14ac:dyDescent="0.2">
      <c r="A3637" s="42"/>
      <c r="B3637" s="79"/>
      <c r="C3637" s="40"/>
      <c r="D3637" s="40"/>
      <c r="E3637" s="40"/>
      <c r="F3637" s="41"/>
      <c r="G3637" s="117"/>
    </row>
    <row r="3638" spans="1:7" s="118" customFormat="1" ht="12.75" x14ac:dyDescent="0.2">
      <c r="A3638" s="42"/>
      <c r="B3638" s="79"/>
      <c r="C3638" s="40"/>
      <c r="D3638" s="40"/>
      <c r="E3638" s="40"/>
      <c r="F3638" s="41"/>
      <c r="G3638" s="117"/>
    </row>
    <row r="3639" spans="1:7" s="118" customFormat="1" ht="12.75" x14ac:dyDescent="0.2">
      <c r="A3639" s="42"/>
      <c r="B3639" s="79"/>
      <c r="C3639" s="40"/>
      <c r="D3639" s="40"/>
      <c r="E3639" s="40"/>
      <c r="F3639" s="41"/>
      <c r="G3639" s="117"/>
    </row>
    <row r="3640" spans="1:7" s="118" customFormat="1" ht="12.75" x14ac:dyDescent="0.2">
      <c r="A3640" s="42"/>
      <c r="B3640" s="79"/>
      <c r="C3640" s="40"/>
      <c r="D3640" s="40"/>
      <c r="E3640" s="40"/>
      <c r="F3640" s="41"/>
      <c r="G3640" s="117"/>
    </row>
    <row r="3641" spans="1:7" s="118" customFormat="1" ht="12.75" x14ac:dyDescent="0.2">
      <c r="A3641" s="42"/>
      <c r="B3641" s="79"/>
      <c r="C3641" s="40"/>
      <c r="D3641" s="40"/>
      <c r="E3641" s="40"/>
      <c r="F3641" s="41"/>
      <c r="G3641" s="117"/>
    </row>
    <row r="3642" spans="1:7" s="118" customFormat="1" ht="12.75" x14ac:dyDescent="0.2">
      <c r="A3642" s="42"/>
      <c r="B3642" s="79"/>
      <c r="C3642" s="40"/>
      <c r="D3642" s="40"/>
      <c r="E3642" s="40"/>
      <c r="F3642" s="41"/>
      <c r="G3642" s="117"/>
    </row>
    <row r="3643" spans="1:7" s="99" customFormat="1" ht="12.75" x14ac:dyDescent="0.2">
      <c r="A3643" s="42"/>
      <c r="B3643" s="79"/>
      <c r="C3643" s="40"/>
      <c r="D3643" s="40"/>
      <c r="E3643" s="40"/>
      <c r="F3643" s="41"/>
      <c r="G3643" s="98"/>
    </row>
    <row r="3644" spans="1:7" s="99" customFormat="1" ht="12.75" x14ac:dyDescent="0.2">
      <c r="A3644" s="42"/>
      <c r="B3644" s="79"/>
      <c r="C3644" s="40"/>
      <c r="D3644" s="40"/>
      <c r="E3644" s="40"/>
      <c r="F3644" s="41"/>
      <c r="G3644" s="98"/>
    </row>
    <row r="3646" spans="1:7" s="99" customFormat="1" ht="12.75" x14ac:dyDescent="0.2">
      <c r="A3646" s="42"/>
      <c r="B3646" s="79"/>
      <c r="C3646" s="40"/>
      <c r="D3646" s="40"/>
      <c r="E3646" s="40"/>
      <c r="F3646" s="41"/>
      <c r="G3646" s="98"/>
    </row>
    <row r="3648" spans="1:7" s="99" customFormat="1" ht="12.75" x14ac:dyDescent="0.2">
      <c r="A3648" s="42"/>
      <c r="B3648" s="79"/>
      <c r="C3648" s="40"/>
      <c r="D3648" s="40"/>
      <c r="E3648" s="40"/>
      <c r="F3648" s="41"/>
      <c r="G3648" s="98"/>
    </row>
    <row r="3650" spans="1:7" s="99" customFormat="1" ht="12.75" x14ac:dyDescent="0.2">
      <c r="A3650" s="42"/>
      <c r="B3650" s="79"/>
      <c r="C3650" s="40"/>
      <c r="D3650" s="40"/>
      <c r="E3650" s="40"/>
      <c r="F3650" s="41"/>
      <c r="G3650" s="98"/>
    </row>
    <row r="3652" spans="1:7" s="99" customFormat="1" ht="12.75" x14ac:dyDescent="0.2">
      <c r="A3652" s="42"/>
      <c r="B3652" s="79"/>
      <c r="C3652" s="40"/>
      <c r="D3652" s="40"/>
      <c r="E3652" s="40"/>
      <c r="F3652" s="41"/>
      <c r="G3652" s="98"/>
    </row>
    <row r="3691" spans="1:7" s="99" customFormat="1" ht="12.75" x14ac:dyDescent="0.2">
      <c r="A3691" s="42"/>
      <c r="B3691" s="79"/>
      <c r="C3691" s="40"/>
      <c r="D3691" s="40"/>
      <c r="E3691" s="40"/>
      <c r="F3691" s="41"/>
      <c r="G3691" s="98"/>
    </row>
    <row r="3692" spans="1:7" s="99" customFormat="1" ht="12.75" x14ac:dyDescent="0.2">
      <c r="A3692" s="42"/>
      <c r="B3692" s="79"/>
      <c r="C3692" s="40"/>
      <c r="D3692" s="40"/>
      <c r="E3692" s="40"/>
      <c r="F3692" s="41"/>
      <c r="G3692" s="98"/>
    </row>
    <row r="3693" spans="1:7" s="99" customFormat="1" ht="12.75" x14ac:dyDescent="0.2">
      <c r="A3693" s="42"/>
      <c r="B3693" s="79"/>
      <c r="C3693" s="40"/>
      <c r="D3693" s="40"/>
      <c r="E3693" s="40"/>
      <c r="F3693" s="41"/>
      <c r="G3693" s="98"/>
    </row>
    <row r="3694" spans="1:7" s="99" customFormat="1" ht="12.75" x14ac:dyDescent="0.2">
      <c r="A3694" s="42"/>
      <c r="B3694" s="79"/>
      <c r="C3694" s="40"/>
      <c r="D3694" s="40"/>
      <c r="E3694" s="40"/>
      <c r="F3694" s="41"/>
      <c r="G3694" s="98"/>
    </row>
    <row r="3695" spans="1:7" s="99" customFormat="1" ht="12.75" x14ac:dyDescent="0.2">
      <c r="A3695" s="42"/>
      <c r="B3695" s="79"/>
      <c r="C3695" s="40"/>
      <c r="D3695" s="40"/>
      <c r="E3695" s="40"/>
      <c r="F3695" s="41"/>
      <c r="G3695" s="98"/>
    </row>
    <row r="3696" spans="1:7" s="99" customFormat="1" ht="12.75" x14ac:dyDescent="0.2">
      <c r="A3696" s="42"/>
      <c r="B3696" s="79"/>
      <c r="C3696" s="40"/>
      <c r="D3696" s="40"/>
      <c r="E3696" s="40"/>
      <c r="F3696" s="41"/>
      <c r="G3696" s="98"/>
    </row>
    <row r="3697" spans="1:7" s="99" customFormat="1" ht="12.75" x14ac:dyDescent="0.2">
      <c r="A3697" s="42"/>
      <c r="B3697" s="79"/>
      <c r="C3697" s="40"/>
      <c r="D3697" s="40"/>
      <c r="E3697" s="40"/>
      <c r="F3697" s="41"/>
      <c r="G3697" s="98"/>
    </row>
    <row r="3698" spans="1:7" s="99" customFormat="1" ht="12.75" x14ac:dyDescent="0.2">
      <c r="A3698" s="42"/>
      <c r="B3698" s="79"/>
      <c r="C3698" s="40"/>
      <c r="D3698" s="40"/>
      <c r="E3698" s="40"/>
      <c r="F3698" s="41"/>
      <c r="G3698" s="98"/>
    </row>
    <row r="3699" spans="1:7" s="99" customFormat="1" ht="12.75" x14ac:dyDescent="0.2">
      <c r="A3699" s="42"/>
      <c r="B3699" s="79"/>
      <c r="C3699" s="40"/>
      <c r="D3699" s="40"/>
      <c r="E3699" s="40"/>
      <c r="F3699" s="41"/>
      <c r="G3699" s="98"/>
    </row>
    <row r="3700" spans="1:7" s="99" customFormat="1" ht="12.75" x14ac:dyDescent="0.2">
      <c r="A3700" s="42"/>
      <c r="B3700" s="79"/>
      <c r="C3700" s="40"/>
      <c r="D3700" s="40"/>
      <c r="E3700" s="40"/>
      <c r="F3700" s="41"/>
      <c r="G3700" s="98"/>
    </row>
    <row r="3701" spans="1:7" s="99" customFormat="1" ht="12.75" x14ac:dyDescent="0.2">
      <c r="A3701" s="42"/>
      <c r="B3701" s="79"/>
      <c r="C3701" s="40"/>
      <c r="D3701" s="40"/>
      <c r="E3701" s="40"/>
      <c r="F3701" s="41"/>
      <c r="G3701" s="98"/>
    </row>
    <row r="3702" spans="1:7" s="99" customFormat="1" ht="12.75" x14ac:dyDescent="0.2">
      <c r="A3702" s="42"/>
      <c r="B3702" s="79"/>
      <c r="C3702" s="40"/>
      <c r="D3702" s="40"/>
      <c r="E3702" s="40"/>
      <c r="F3702" s="41"/>
      <c r="G3702" s="98"/>
    </row>
    <row r="3703" spans="1:7" s="99" customFormat="1" ht="12.75" x14ac:dyDescent="0.2">
      <c r="A3703" s="42"/>
      <c r="B3703" s="79"/>
      <c r="C3703" s="40"/>
      <c r="D3703" s="40"/>
      <c r="E3703" s="40"/>
      <c r="F3703" s="41"/>
      <c r="G3703" s="98"/>
    </row>
    <row r="3704" spans="1:7" s="99" customFormat="1" ht="12.75" x14ac:dyDescent="0.2">
      <c r="A3704" s="42"/>
      <c r="B3704" s="79"/>
      <c r="C3704" s="40"/>
      <c r="D3704" s="40"/>
      <c r="E3704" s="40"/>
      <c r="F3704" s="41"/>
      <c r="G3704" s="98"/>
    </row>
    <row r="3705" spans="1:7" s="99" customFormat="1" ht="12.75" x14ac:dyDescent="0.2">
      <c r="A3705" s="42"/>
      <c r="B3705" s="79"/>
      <c r="C3705" s="40"/>
      <c r="D3705" s="40"/>
      <c r="E3705" s="40"/>
      <c r="F3705" s="41"/>
      <c r="G3705" s="98"/>
    </row>
    <row r="3706" spans="1:7" s="99" customFormat="1" ht="12.75" x14ac:dyDescent="0.2">
      <c r="A3706" s="42"/>
      <c r="B3706" s="79"/>
      <c r="C3706" s="40"/>
      <c r="D3706" s="40"/>
      <c r="E3706" s="40"/>
      <c r="F3706" s="41"/>
      <c r="G3706" s="98"/>
    </row>
    <row r="3787" spans="1:7" s="99" customFormat="1" ht="12.75" x14ac:dyDescent="0.2">
      <c r="A3787" s="42"/>
      <c r="B3787" s="79"/>
      <c r="C3787" s="40"/>
      <c r="D3787" s="40"/>
      <c r="E3787" s="40"/>
      <c r="F3787" s="41"/>
      <c r="G3787" s="98"/>
    </row>
    <row r="3788" spans="1:7" s="99" customFormat="1" ht="12.75" x14ac:dyDescent="0.2">
      <c r="A3788" s="42"/>
      <c r="B3788" s="79"/>
      <c r="C3788" s="40"/>
      <c r="D3788" s="40"/>
      <c r="E3788" s="40"/>
      <c r="F3788" s="41"/>
      <c r="G3788" s="98"/>
    </row>
    <row r="3792" spans="1:7" s="99" customFormat="1" ht="12.75" x14ac:dyDescent="0.2">
      <c r="A3792" s="42"/>
      <c r="B3792" s="79"/>
      <c r="C3792" s="40"/>
      <c r="D3792" s="40"/>
      <c r="E3792" s="40"/>
      <c r="F3792" s="41"/>
      <c r="G3792" s="98"/>
    </row>
    <row r="3793" spans="1:7" s="99" customFormat="1" ht="12.75" x14ac:dyDescent="0.2">
      <c r="A3793" s="42"/>
      <c r="B3793" s="79"/>
      <c r="C3793" s="40"/>
      <c r="D3793" s="40"/>
      <c r="E3793" s="40"/>
      <c r="F3793" s="41"/>
      <c r="G3793" s="98"/>
    </row>
    <row r="3794" spans="1:7" s="99" customFormat="1" ht="12.75" x14ac:dyDescent="0.2">
      <c r="A3794" s="42"/>
      <c r="B3794" s="79"/>
      <c r="C3794" s="40"/>
      <c r="D3794" s="40"/>
      <c r="E3794" s="40"/>
      <c r="F3794" s="41"/>
      <c r="G3794" s="98"/>
    </row>
    <row r="3796" spans="1:7" s="99" customFormat="1" ht="12.75" x14ac:dyDescent="0.2">
      <c r="A3796" s="42"/>
      <c r="B3796" s="79"/>
      <c r="C3796" s="40"/>
      <c r="D3796" s="40"/>
      <c r="E3796" s="40"/>
      <c r="F3796" s="41"/>
      <c r="G3796" s="98"/>
    </row>
    <row r="3797" spans="1:7" s="99" customFormat="1" ht="12.75" x14ac:dyDescent="0.2">
      <c r="A3797" s="42"/>
      <c r="B3797" s="79"/>
      <c r="C3797" s="40"/>
      <c r="D3797" s="40"/>
      <c r="E3797" s="40"/>
      <c r="F3797" s="41"/>
      <c r="G3797" s="98"/>
    </row>
    <row r="3798" spans="1:7" s="99" customFormat="1" ht="12.75" x14ac:dyDescent="0.2">
      <c r="A3798" s="42"/>
      <c r="B3798" s="79"/>
      <c r="C3798" s="40"/>
      <c r="D3798" s="40"/>
      <c r="E3798" s="40"/>
      <c r="F3798" s="41"/>
      <c r="G3798" s="98"/>
    </row>
    <row r="3800" spans="1:7" s="99" customFormat="1" ht="12.75" x14ac:dyDescent="0.2">
      <c r="A3800" s="42"/>
      <c r="B3800" s="79"/>
      <c r="C3800" s="40"/>
      <c r="D3800" s="40"/>
      <c r="E3800" s="40"/>
      <c r="F3800" s="41"/>
      <c r="G3800" s="98"/>
    </row>
    <row r="3801" spans="1:7" s="99" customFormat="1" ht="12.75" x14ac:dyDescent="0.2">
      <c r="A3801" s="42"/>
      <c r="B3801" s="79"/>
      <c r="C3801" s="40"/>
      <c r="D3801" s="40"/>
      <c r="E3801" s="40"/>
      <c r="F3801" s="41"/>
      <c r="G3801" s="98"/>
    </row>
    <row r="3802" spans="1:7" s="99" customFormat="1" ht="12.75" x14ac:dyDescent="0.2">
      <c r="A3802" s="42"/>
      <c r="B3802" s="79"/>
      <c r="C3802" s="40"/>
      <c r="D3802" s="40"/>
      <c r="E3802" s="40"/>
      <c r="F3802" s="41"/>
      <c r="G3802" s="98"/>
    </row>
    <row r="3835" spans="1:7" s="99" customFormat="1" ht="12.75" x14ac:dyDescent="0.2">
      <c r="A3835" s="42"/>
      <c r="B3835" s="79"/>
      <c r="C3835" s="40"/>
      <c r="D3835" s="40"/>
      <c r="E3835" s="40"/>
      <c r="F3835" s="41"/>
      <c r="G3835" s="98"/>
    </row>
    <row r="3840" spans="1:7" s="99" customFormat="1" ht="12.75" x14ac:dyDescent="0.2">
      <c r="A3840" s="42"/>
      <c r="B3840" s="79"/>
      <c r="C3840" s="40"/>
      <c r="D3840" s="40"/>
      <c r="E3840" s="40"/>
      <c r="F3840" s="41"/>
      <c r="G3840" s="98"/>
    </row>
    <row r="3841" spans="1:7" s="99" customFormat="1" ht="12.75" x14ac:dyDescent="0.2">
      <c r="A3841" s="42"/>
      <c r="B3841" s="79"/>
      <c r="C3841" s="40"/>
      <c r="D3841" s="40"/>
      <c r="E3841" s="40"/>
      <c r="F3841" s="41"/>
      <c r="G3841" s="98"/>
    </row>
    <row r="3842" spans="1:7" s="99" customFormat="1" ht="12.75" x14ac:dyDescent="0.2">
      <c r="A3842" s="42"/>
      <c r="B3842" s="79"/>
      <c r="C3842" s="40"/>
      <c r="D3842" s="40"/>
      <c r="E3842" s="40"/>
      <c r="F3842" s="41"/>
      <c r="G3842" s="98"/>
    </row>
    <row r="3843" spans="1:7" s="99" customFormat="1" ht="12.75" x14ac:dyDescent="0.2">
      <c r="A3843" s="42"/>
      <c r="B3843" s="79"/>
      <c r="C3843" s="40"/>
      <c r="D3843" s="40"/>
      <c r="E3843" s="40"/>
      <c r="F3843" s="41"/>
      <c r="G3843" s="98"/>
    </row>
    <row r="3844" spans="1:7" s="99" customFormat="1" ht="12.75" x14ac:dyDescent="0.2">
      <c r="A3844" s="42"/>
      <c r="B3844" s="79"/>
      <c r="C3844" s="40"/>
      <c r="D3844" s="40"/>
      <c r="E3844" s="40"/>
      <c r="F3844" s="41"/>
      <c r="G3844" s="98"/>
    </row>
    <row r="3867" spans="1:7" s="99" customFormat="1" ht="12.75" x14ac:dyDescent="0.2">
      <c r="A3867" s="42"/>
      <c r="B3867" s="79"/>
      <c r="C3867" s="40"/>
      <c r="D3867" s="40"/>
      <c r="E3867" s="40"/>
      <c r="F3867" s="41"/>
      <c r="G3867" s="98"/>
    </row>
    <row r="3868" spans="1:7" s="99" customFormat="1" ht="12.75" x14ac:dyDescent="0.2">
      <c r="A3868" s="42"/>
      <c r="B3868" s="79"/>
      <c r="C3868" s="40"/>
      <c r="D3868" s="40"/>
      <c r="E3868" s="40"/>
      <c r="F3868" s="41"/>
      <c r="G3868" s="98"/>
    </row>
    <row r="3869" spans="1:7" s="99" customFormat="1" ht="12.75" x14ac:dyDescent="0.2">
      <c r="A3869" s="42"/>
      <c r="B3869" s="79"/>
      <c r="C3869" s="40"/>
      <c r="D3869" s="40"/>
      <c r="E3869" s="40"/>
      <c r="F3869" s="41"/>
      <c r="G3869" s="98"/>
    </row>
    <row r="3870" spans="1:7" s="99" customFormat="1" ht="12.75" x14ac:dyDescent="0.2">
      <c r="A3870" s="42"/>
      <c r="B3870" s="79"/>
      <c r="C3870" s="40"/>
      <c r="D3870" s="40"/>
      <c r="E3870" s="40"/>
      <c r="F3870" s="41"/>
      <c r="G3870" s="98"/>
    </row>
    <row r="3871" spans="1:7" s="99" customFormat="1" ht="12.75" x14ac:dyDescent="0.2">
      <c r="A3871" s="42"/>
      <c r="B3871" s="79"/>
      <c r="C3871" s="40"/>
      <c r="D3871" s="40"/>
      <c r="E3871" s="40"/>
      <c r="F3871" s="41"/>
      <c r="G3871" s="98"/>
    </row>
    <row r="3872" spans="1:7" s="99" customFormat="1" ht="12.75" x14ac:dyDescent="0.2">
      <c r="A3872" s="42"/>
      <c r="B3872" s="79"/>
      <c r="C3872" s="40"/>
      <c r="D3872" s="40"/>
      <c r="E3872" s="40"/>
      <c r="F3872" s="41"/>
      <c r="G3872" s="98"/>
    </row>
    <row r="3873" spans="1:7" s="99" customFormat="1" ht="12.75" x14ac:dyDescent="0.2">
      <c r="A3873" s="42"/>
      <c r="B3873" s="79"/>
      <c r="C3873" s="40"/>
      <c r="D3873" s="40"/>
      <c r="E3873" s="40"/>
      <c r="F3873" s="41"/>
      <c r="G3873" s="98"/>
    </row>
    <row r="3874" spans="1:7" s="99" customFormat="1" ht="12.75" x14ac:dyDescent="0.2">
      <c r="A3874" s="42"/>
      <c r="B3874" s="79"/>
      <c r="C3874" s="40"/>
      <c r="D3874" s="40"/>
      <c r="E3874" s="40"/>
      <c r="F3874" s="41"/>
      <c r="G3874" s="98"/>
    </row>
    <row r="3875" spans="1:7" s="99" customFormat="1" ht="12.75" x14ac:dyDescent="0.2">
      <c r="A3875" s="42"/>
      <c r="B3875" s="79"/>
      <c r="C3875" s="40"/>
      <c r="D3875" s="40"/>
      <c r="E3875" s="40"/>
      <c r="F3875" s="41"/>
      <c r="G3875" s="98"/>
    </row>
    <row r="3876" spans="1:7" s="99" customFormat="1" ht="12.75" x14ac:dyDescent="0.2">
      <c r="A3876" s="42"/>
      <c r="B3876" s="79"/>
      <c r="C3876" s="40"/>
      <c r="D3876" s="40"/>
      <c r="E3876" s="40"/>
      <c r="F3876" s="41"/>
      <c r="G3876" s="98"/>
    </row>
    <row r="3877" spans="1:7" s="99" customFormat="1" ht="12.75" x14ac:dyDescent="0.2">
      <c r="A3877" s="42"/>
      <c r="B3877" s="79"/>
      <c r="C3877" s="40"/>
      <c r="D3877" s="40"/>
      <c r="E3877" s="40"/>
      <c r="F3877" s="41"/>
      <c r="G3877" s="98"/>
    </row>
    <row r="3878" spans="1:7" s="99" customFormat="1" ht="12.75" x14ac:dyDescent="0.2">
      <c r="A3878" s="42"/>
      <c r="B3878" s="79"/>
      <c r="C3878" s="40"/>
      <c r="D3878" s="40"/>
      <c r="E3878" s="40"/>
      <c r="F3878" s="41"/>
      <c r="G3878" s="98"/>
    </row>
    <row r="3879" spans="1:7" s="99" customFormat="1" ht="12.75" x14ac:dyDescent="0.2">
      <c r="A3879" s="42"/>
      <c r="B3879" s="79"/>
      <c r="C3879" s="40"/>
      <c r="D3879" s="40"/>
      <c r="E3879" s="40"/>
      <c r="F3879" s="41"/>
      <c r="G3879" s="98"/>
    </row>
    <row r="3880" spans="1:7" s="99" customFormat="1" ht="12.75" x14ac:dyDescent="0.2">
      <c r="A3880" s="42"/>
      <c r="B3880" s="79"/>
      <c r="C3880" s="40"/>
      <c r="D3880" s="40"/>
      <c r="E3880" s="40"/>
      <c r="F3880" s="41"/>
      <c r="G3880" s="98"/>
    </row>
    <row r="3881" spans="1:7" s="99" customFormat="1" ht="12.75" x14ac:dyDescent="0.2">
      <c r="A3881" s="42"/>
      <c r="B3881" s="79"/>
      <c r="C3881" s="40"/>
      <c r="D3881" s="40"/>
      <c r="E3881" s="40"/>
      <c r="F3881" s="41"/>
      <c r="G3881" s="98"/>
    </row>
    <row r="3882" spans="1:7" s="99" customFormat="1" ht="12.75" x14ac:dyDescent="0.2">
      <c r="A3882" s="42"/>
      <c r="B3882" s="79"/>
      <c r="C3882" s="40"/>
      <c r="D3882" s="40"/>
      <c r="E3882" s="40"/>
      <c r="F3882" s="41"/>
      <c r="G3882" s="98"/>
    </row>
    <row r="3899" spans="1:7" s="99" customFormat="1" ht="12.75" x14ac:dyDescent="0.2">
      <c r="A3899" s="42"/>
      <c r="B3899" s="79"/>
      <c r="C3899" s="40"/>
      <c r="D3899" s="40"/>
      <c r="E3899" s="40"/>
      <c r="F3899" s="41"/>
      <c r="G3899" s="98"/>
    </row>
    <row r="3900" spans="1:7" s="99" customFormat="1" ht="12.75" x14ac:dyDescent="0.2">
      <c r="A3900" s="42"/>
      <c r="B3900" s="79"/>
      <c r="C3900" s="40"/>
      <c r="D3900" s="40"/>
      <c r="E3900" s="40"/>
      <c r="F3900" s="41"/>
      <c r="G3900" s="98"/>
    </row>
    <row r="3901" spans="1:7" s="99" customFormat="1" ht="12.75" x14ac:dyDescent="0.2">
      <c r="A3901" s="42"/>
      <c r="B3901" s="79"/>
      <c r="C3901" s="40"/>
      <c r="D3901" s="40"/>
      <c r="E3901" s="40"/>
      <c r="F3901" s="41"/>
      <c r="G3901" s="98"/>
    </row>
    <row r="3908" spans="1:7" s="99" customFormat="1" ht="12.75" x14ac:dyDescent="0.2">
      <c r="A3908" s="42"/>
      <c r="B3908" s="79"/>
      <c r="C3908" s="40"/>
      <c r="D3908" s="40"/>
      <c r="E3908" s="40"/>
      <c r="F3908" s="41"/>
      <c r="G3908" s="98"/>
    </row>
    <row r="3912" spans="1:7" s="99" customFormat="1" ht="12.75" x14ac:dyDescent="0.2">
      <c r="A3912" s="42"/>
      <c r="B3912" s="79"/>
      <c r="C3912" s="40"/>
      <c r="D3912" s="40"/>
      <c r="E3912" s="40"/>
      <c r="F3912" s="41"/>
      <c r="G3912" s="98"/>
    </row>
    <row r="3914" spans="1:7" s="99" customFormat="1" ht="12.75" x14ac:dyDescent="0.2">
      <c r="A3914" s="42"/>
      <c r="B3914" s="79"/>
      <c r="C3914" s="40"/>
      <c r="D3914" s="40"/>
      <c r="E3914" s="40"/>
      <c r="F3914" s="41"/>
      <c r="G3914" s="98"/>
    </row>
    <row r="3948" spans="1:7" s="99" customFormat="1" ht="12.75" x14ac:dyDescent="0.2">
      <c r="A3948" s="42"/>
      <c r="B3948" s="79"/>
      <c r="C3948" s="40"/>
      <c r="D3948" s="40"/>
      <c r="E3948" s="40"/>
      <c r="F3948" s="41"/>
      <c r="G3948" s="98"/>
    </row>
    <row r="3950" spans="1:7" s="99" customFormat="1" ht="12.75" x14ac:dyDescent="0.2">
      <c r="A3950" s="42"/>
      <c r="B3950" s="79"/>
      <c r="C3950" s="40"/>
      <c r="D3950" s="40"/>
      <c r="E3950" s="40"/>
      <c r="F3950" s="41"/>
      <c r="G3950" s="98"/>
    </row>
    <row r="3951" spans="1:7" s="99" customFormat="1" ht="12.75" x14ac:dyDescent="0.2">
      <c r="A3951" s="42"/>
      <c r="B3951" s="79"/>
      <c r="C3951" s="40"/>
      <c r="D3951" s="40"/>
      <c r="E3951" s="40"/>
      <c r="F3951" s="41"/>
      <c r="G3951" s="98"/>
    </row>
    <row r="3952" spans="1:7" s="99" customFormat="1" ht="12.75" x14ac:dyDescent="0.2">
      <c r="A3952" s="42"/>
      <c r="B3952" s="79"/>
      <c r="C3952" s="40"/>
      <c r="D3952" s="40"/>
      <c r="E3952" s="40"/>
      <c r="F3952" s="41"/>
      <c r="G3952" s="98"/>
    </row>
    <row r="3953" spans="1:7" s="99" customFormat="1" ht="12.75" x14ac:dyDescent="0.2">
      <c r="A3953" s="42"/>
      <c r="B3953" s="79"/>
      <c r="C3953" s="40"/>
      <c r="D3953" s="40"/>
      <c r="E3953" s="40"/>
      <c r="F3953" s="41"/>
      <c r="G3953" s="98"/>
    </row>
    <row r="3954" spans="1:7" s="99" customFormat="1" ht="12.75" x14ac:dyDescent="0.2">
      <c r="A3954" s="42"/>
      <c r="B3954" s="79"/>
      <c r="C3954" s="40"/>
      <c r="D3954" s="40"/>
      <c r="E3954" s="40"/>
      <c r="F3954" s="41"/>
      <c r="G3954" s="98"/>
    </row>
    <row r="3955" spans="1:7" s="99" customFormat="1" ht="12.75" x14ac:dyDescent="0.2">
      <c r="A3955" s="42"/>
      <c r="B3955" s="79"/>
      <c r="C3955" s="40"/>
      <c r="D3955" s="40"/>
      <c r="E3955" s="40"/>
      <c r="F3955" s="41"/>
      <c r="G3955" s="98"/>
    </row>
    <row r="3956" spans="1:7" s="99" customFormat="1" ht="12.75" x14ac:dyDescent="0.2">
      <c r="A3956" s="42"/>
      <c r="B3956" s="79"/>
      <c r="C3956" s="40"/>
      <c r="D3956" s="40"/>
      <c r="E3956" s="40"/>
      <c r="F3956" s="41"/>
      <c r="G3956" s="98"/>
    </row>
    <row r="3957" spans="1:7" s="99" customFormat="1" ht="12.75" x14ac:dyDescent="0.2">
      <c r="A3957" s="42"/>
      <c r="B3957" s="79"/>
      <c r="C3957" s="40"/>
      <c r="D3957" s="40"/>
      <c r="E3957" s="40"/>
      <c r="F3957" s="41"/>
      <c r="G3957" s="98"/>
    </row>
    <row r="3958" spans="1:7" s="99" customFormat="1" ht="12.75" x14ac:dyDescent="0.2">
      <c r="A3958" s="42"/>
      <c r="B3958" s="79"/>
      <c r="C3958" s="40"/>
      <c r="D3958" s="40"/>
      <c r="E3958" s="40"/>
      <c r="F3958" s="41"/>
      <c r="G3958" s="98"/>
    </row>
    <row r="3962" spans="1:7" s="99" customFormat="1" ht="12.75" x14ac:dyDescent="0.2">
      <c r="A3962" s="42"/>
      <c r="B3962" s="79"/>
      <c r="C3962" s="40"/>
      <c r="D3962" s="40"/>
      <c r="E3962" s="40"/>
      <c r="F3962" s="41"/>
      <c r="G3962" s="98"/>
    </row>
    <row r="3979" spans="1:7" s="99" customFormat="1" ht="12.75" x14ac:dyDescent="0.2">
      <c r="A3979" s="42"/>
      <c r="B3979" s="79"/>
      <c r="C3979" s="40"/>
      <c r="D3979" s="40"/>
      <c r="E3979" s="40"/>
      <c r="F3979" s="41"/>
      <c r="G3979" s="98"/>
    </row>
    <row r="3993" spans="1:7" s="99" customFormat="1" ht="12.75" x14ac:dyDescent="0.2">
      <c r="A3993" s="42"/>
      <c r="B3993" s="79"/>
      <c r="C3993" s="40"/>
      <c r="D3993" s="40"/>
      <c r="E3993" s="40"/>
      <c r="F3993" s="41"/>
      <c r="G3993" s="98"/>
    </row>
    <row r="4043" spans="1:7" s="99" customFormat="1" ht="12.75" x14ac:dyDescent="0.2">
      <c r="A4043" s="42"/>
      <c r="B4043" s="79"/>
      <c r="C4043" s="40"/>
      <c r="D4043" s="40"/>
      <c r="E4043" s="40"/>
      <c r="F4043" s="41"/>
      <c r="G4043" s="98"/>
    </row>
    <row r="4044" spans="1:7" s="99" customFormat="1" ht="12.75" x14ac:dyDescent="0.2">
      <c r="A4044" s="42"/>
      <c r="B4044" s="79"/>
      <c r="C4044" s="40"/>
      <c r="D4044" s="40"/>
      <c r="E4044" s="40"/>
      <c r="F4044" s="41"/>
      <c r="G4044" s="98"/>
    </row>
    <row r="4045" spans="1:7" s="99" customFormat="1" ht="12.75" x14ac:dyDescent="0.2">
      <c r="A4045" s="42"/>
      <c r="B4045" s="79"/>
      <c r="C4045" s="40"/>
      <c r="D4045" s="40"/>
      <c r="E4045" s="40"/>
      <c r="F4045" s="41"/>
      <c r="G4045" s="98"/>
    </row>
    <row r="4046" spans="1:7" s="99" customFormat="1" ht="12.75" x14ac:dyDescent="0.2">
      <c r="A4046" s="42"/>
      <c r="B4046" s="79"/>
      <c r="C4046" s="40"/>
      <c r="D4046" s="40"/>
      <c r="E4046" s="40"/>
      <c r="F4046" s="41"/>
      <c r="G4046" s="98"/>
    </row>
    <row r="4047" spans="1:7" s="99" customFormat="1" ht="12.75" x14ac:dyDescent="0.2">
      <c r="A4047" s="42"/>
      <c r="B4047" s="79"/>
      <c r="C4047" s="40"/>
      <c r="D4047" s="40"/>
      <c r="E4047" s="40"/>
      <c r="F4047" s="41"/>
      <c r="G4047" s="98"/>
    </row>
    <row r="4048" spans="1:7" s="99" customFormat="1" ht="12.75" x14ac:dyDescent="0.2">
      <c r="A4048" s="42"/>
      <c r="B4048" s="79"/>
      <c r="C4048" s="40"/>
      <c r="D4048" s="40"/>
      <c r="E4048" s="40"/>
      <c r="F4048" s="41"/>
      <c r="G4048" s="98"/>
    </row>
    <row r="4049" spans="1:7" s="99" customFormat="1" ht="12.75" x14ac:dyDescent="0.2">
      <c r="A4049" s="42"/>
      <c r="B4049" s="79"/>
      <c r="C4049" s="40"/>
      <c r="D4049" s="40"/>
      <c r="E4049" s="40"/>
      <c r="F4049" s="41"/>
      <c r="G4049" s="98"/>
    </row>
    <row r="4050" spans="1:7" s="99" customFormat="1" ht="12.75" x14ac:dyDescent="0.2">
      <c r="A4050" s="42"/>
      <c r="B4050" s="79"/>
      <c r="C4050" s="40"/>
      <c r="D4050" s="40"/>
      <c r="E4050" s="40"/>
      <c r="F4050" s="41"/>
      <c r="G4050" s="98"/>
    </row>
    <row r="4051" spans="1:7" s="99" customFormat="1" ht="12.75" x14ac:dyDescent="0.2">
      <c r="A4051" s="42"/>
      <c r="B4051" s="79"/>
      <c r="C4051" s="40"/>
      <c r="D4051" s="40"/>
      <c r="E4051" s="40"/>
      <c r="F4051" s="41"/>
      <c r="G4051" s="98"/>
    </row>
    <row r="4052" spans="1:7" s="99" customFormat="1" ht="12.75" x14ac:dyDescent="0.2">
      <c r="A4052" s="42"/>
      <c r="B4052" s="79"/>
      <c r="C4052" s="40"/>
      <c r="D4052" s="40"/>
      <c r="E4052" s="40"/>
      <c r="F4052" s="41"/>
      <c r="G4052" s="98"/>
    </row>
    <row r="4053" spans="1:7" s="99" customFormat="1" ht="12.75" x14ac:dyDescent="0.2">
      <c r="A4053" s="42"/>
      <c r="B4053" s="79"/>
      <c r="C4053" s="40"/>
      <c r="D4053" s="40"/>
      <c r="E4053" s="40"/>
      <c r="F4053" s="41"/>
      <c r="G4053" s="98"/>
    </row>
    <row r="4054" spans="1:7" s="99" customFormat="1" ht="12.75" x14ac:dyDescent="0.2">
      <c r="A4054" s="42"/>
      <c r="B4054" s="79"/>
      <c r="C4054" s="40"/>
      <c r="D4054" s="40"/>
      <c r="E4054" s="40"/>
      <c r="F4054" s="41"/>
      <c r="G4054" s="98"/>
    </row>
    <row r="4055" spans="1:7" s="99" customFormat="1" ht="12.75" x14ac:dyDescent="0.2">
      <c r="A4055" s="42"/>
      <c r="B4055" s="79"/>
      <c r="C4055" s="40"/>
      <c r="D4055" s="40"/>
      <c r="E4055" s="40"/>
      <c r="F4055" s="41"/>
      <c r="G4055" s="98"/>
    </row>
    <row r="4056" spans="1:7" s="99" customFormat="1" ht="12.75" x14ac:dyDescent="0.2">
      <c r="A4056" s="42"/>
      <c r="B4056" s="79"/>
      <c r="C4056" s="40"/>
      <c r="D4056" s="40"/>
      <c r="E4056" s="40"/>
      <c r="F4056" s="41"/>
      <c r="G4056" s="98"/>
    </row>
    <row r="4057" spans="1:7" s="99" customFormat="1" ht="12.75" x14ac:dyDescent="0.2">
      <c r="A4057" s="42"/>
      <c r="B4057" s="79"/>
      <c r="C4057" s="40"/>
      <c r="D4057" s="40"/>
      <c r="E4057" s="40"/>
      <c r="F4057" s="41"/>
      <c r="G4057" s="98"/>
    </row>
    <row r="4058" spans="1:7" s="99" customFormat="1" ht="12.75" x14ac:dyDescent="0.2">
      <c r="A4058" s="42"/>
      <c r="B4058" s="79"/>
      <c r="C4058" s="40"/>
      <c r="D4058" s="40"/>
      <c r="E4058" s="40"/>
      <c r="F4058" s="41"/>
      <c r="G4058" s="98"/>
    </row>
    <row r="4059" spans="1:7" s="99" customFormat="1" ht="12.75" x14ac:dyDescent="0.2">
      <c r="A4059" s="42"/>
      <c r="B4059" s="79"/>
      <c r="C4059" s="40"/>
      <c r="D4059" s="40"/>
      <c r="E4059" s="40"/>
      <c r="F4059" s="41"/>
      <c r="G4059" s="98"/>
    </row>
    <row r="4060" spans="1:7" s="99" customFormat="1" ht="12.75" x14ac:dyDescent="0.2">
      <c r="A4060" s="42"/>
      <c r="B4060" s="79"/>
      <c r="C4060" s="40"/>
      <c r="D4060" s="40"/>
      <c r="E4060" s="40"/>
      <c r="F4060" s="41"/>
      <c r="G4060" s="98"/>
    </row>
    <row r="4061" spans="1:7" s="99" customFormat="1" ht="12.75" x14ac:dyDescent="0.2">
      <c r="A4061" s="42"/>
      <c r="B4061" s="79"/>
      <c r="C4061" s="40"/>
      <c r="D4061" s="40"/>
      <c r="E4061" s="40"/>
      <c r="F4061" s="41"/>
      <c r="G4061" s="98"/>
    </row>
    <row r="4062" spans="1:7" s="99" customFormat="1" ht="12.75" x14ac:dyDescent="0.2">
      <c r="A4062" s="42"/>
      <c r="B4062" s="79"/>
      <c r="C4062" s="40"/>
      <c r="D4062" s="40"/>
      <c r="E4062" s="40"/>
      <c r="F4062" s="41"/>
      <c r="G4062" s="98"/>
    </row>
    <row r="4063" spans="1:7" s="99" customFormat="1" ht="12.75" x14ac:dyDescent="0.2">
      <c r="A4063" s="42"/>
      <c r="B4063" s="79"/>
      <c r="C4063" s="40"/>
      <c r="D4063" s="40"/>
      <c r="E4063" s="40"/>
      <c r="F4063" s="41"/>
      <c r="G4063" s="98"/>
    </row>
    <row r="4064" spans="1:7" s="99" customFormat="1" ht="12.75" x14ac:dyDescent="0.2">
      <c r="A4064" s="42"/>
      <c r="B4064" s="79"/>
      <c r="C4064" s="40"/>
      <c r="D4064" s="40"/>
      <c r="E4064" s="40"/>
      <c r="F4064" s="41"/>
      <c r="G4064" s="98"/>
    </row>
    <row r="4065" spans="1:7" s="99" customFormat="1" ht="12.75" x14ac:dyDescent="0.2">
      <c r="A4065" s="42"/>
      <c r="B4065" s="79"/>
      <c r="C4065" s="40"/>
      <c r="D4065" s="40"/>
      <c r="E4065" s="40"/>
      <c r="F4065" s="41"/>
      <c r="G4065" s="98"/>
    </row>
    <row r="4066" spans="1:7" s="99" customFormat="1" ht="12.75" x14ac:dyDescent="0.2">
      <c r="A4066" s="42"/>
      <c r="B4066" s="79"/>
      <c r="C4066" s="40"/>
      <c r="D4066" s="40"/>
      <c r="E4066" s="40"/>
      <c r="F4066" s="41"/>
      <c r="G4066" s="98"/>
    </row>
    <row r="4067" spans="1:7" s="99" customFormat="1" ht="12.75" x14ac:dyDescent="0.2">
      <c r="A4067" s="42"/>
      <c r="B4067" s="79"/>
      <c r="C4067" s="40"/>
      <c r="D4067" s="40"/>
      <c r="E4067" s="40"/>
      <c r="F4067" s="41"/>
      <c r="G4067" s="98"/>
    </row>
    <row r="4068" spans="1:7" s="99" customFormat="1" ht="12.75" x14ac:dyDescent="0.2">
      <c r="A4068" s="42"/>
      <c r="B4068" s="79"/>
      <c r="C4068" s="40"/>
      <c r="D4068" s="40"/>
      <c r="E4068" s="40"/>
      <c r="F4068" s="41"/>
      <c r="G4068" s="98"/>
    </row>
    <row r="4069" spans="1:7" s="99" customFormat="1" ht="12.75" x14ac:dyDescent="0.2">
      <c r="A4069" s="42"/>
      <c r="B4069" s="79"/>
      <c r="C4069" s="40"/>
      <c r="D4069" s="40"/>
      <c r="E4069" s="40"/>
      <c r="F4069" s="41"/>
      <c r="G4069" s="98"/>
    </row>
    <row r="4070" spans="1:7" s="99" customFormat="1" ht="12.75" x14ac:dyDescent="0.2">
      <c r="A4070" s="42"/>
      <c r="B4070" s="79"/>
      <c r="C4070" s="40"/>
      <c r="D4070" s="40"/>
      <c r="E4070" s="40"/>
      <c r="F4070" s="41"/>
      <c r="G4070" s="98"/>
    </row>
    <row r="4071" spans="1:7" s="99" customFormat="1" ht="12.75" x14ac:dyDescent="0.2">
      <c r="A4071" s="42"/>
      <c r="B4071" s="79"/>
      <c r="C4071" s="40"/>
      <c r="D4071" s="40"/>
      <c r="E4071" s="40"/>
      <c r="F4071" s="41"/>
      <c r="G4071" s="98"/>
    </row>
    <row r="4072" spans="1:7" s="99" customFormat="1" ht="12.75" x14ac:dyDescent="0.2">
      <c r="A4072" s="42"/>
      <c r="B4072" s="79"/>
      <c r="C4072" s="40"/>
      <c r="D4072" s="40"/>
      <c r="E4072" s="40"/>
      <c r="F4072" s="41"/>
      <c r="G4072" s="98"/>
    </row>
    <row r="4073" spans="1:7" s="99" customFormat="1" ht="12.75" x14ac:dyDescent="0.2">
      <c r="A4073" s="42"/>
      <c r="B4073" s="79"/>
      <c r="C4073" s="40"/>
      <c r="D4073" s="40"/>
      <c r="E4073" s="40"/>
      <c r="F4073" s="41"/>
      <c r="G4073" s="98"/>
    </row>
    <row r="4074" spans="1:7" s="99" customFormat="1" ht="12.75" x14ac:dyDescent="0.2">
      <c r="A4074" s="42"/>
      <c r="B4074" s="79"/>
      <c r="C4074" s="40"/>
      <c r="D4074" s="40"/>
      <c r="E4074" s="40"/>
      <c r="F4074" s="41"/>
      <c r="G4074" s="98"/>
    </row>
    <row r="4123" spans="1:7" s="118" customFormat="1" ht="12.75" x14ac:dyDescent="0.2">
      <c r="A4123" s="42"/>
      <c r="B4123" s="79"/>
      <c r="C4123" s="40"/>
      <c r="D4123" s="40"/>
      <c r="E4123" s="40"/>
      <c r="F4123" s="41"/>
      <c r="G4123" s="117"/>
    </row>
    <row r="4124" spans="1:7" s="118" customFormat="1" ht="12.75" x14ac:dyDescent="0.2">
      <c r="A4124" s="42"/>
      <c r="B4124" s="79"/>
      <c r="C4124" s="40"/>
      <c r="D4124" s="40"/>
      <c r="E4124" s="40"/>
      <c r="F4124" s="41"/>
      <c r="G4124" s="117"/>
    </row>
    <row r="4125" spans="1:7" s="118" customFormat="1" ht="12.75" x14ac:dyDescent="0.2">
      <c r="A4125" s="42"/>
      <c r="B4125" s="79"/>
      <c r="C4125" s="40"/>
      <c r="D4125" s="40"/>
      <c r="E4125" s="40"/>
      <c r="F4125" s="41"/>
      <c r="G4125" s="117"/>
    </row>
    <row r="4126" spans="1:7" s="118" customFormat="1" ht="12.75" x14ac:dyDescent="0.2">
      <c r="A4126" s="42"/>
      <c r="B4126" s="79"/>
      <c r="C4126" s="40"/>
      <c r="D4126" s="40"/>
      <c r="E4126" s="40"/>
      <c r="F4126" s="41"/>
      <c r="G4126" s="117"/>
    </row>
    <row r="4127" spans="1:7" s="118" customFormat="1" ht="12.75" x14ac:dyDescent="0.2">
      <c r="A4127" s="42"/>
      <c r="B4127" s="79"/>
      <c r="C4127" s="40"/>
      <c r="D4127" s="40"/>
      <c r="E4127" s="40"/>
      <c r="F4127" s="41"/>
      <c r="G4127" s="117"/>
    </row>
    <row r="4128" spans="1:7" s="118" customFormat="1" ht="12.75" x14ac:dyDescent="0.2">
      <c r="A4128" s="42"/>
      <c r="B4128" s="79"/>
      <c r="C4128" s="40"/>
      <c r="D4128" s="40"/>
      <c r="E4128" s="40"/>
      <c r="F4128" s="41"/>
      <c r="G4128" s="117"/>
    </row>
    <row r="4129" spans="1:7" s="118" customFormat="1" ht="12.75" x14ac:dyDescent="0.2">
      <c r="A4129" s="42"/>
      <c r="B4129" s="79"/>
      <c r="C4129" s="40"/>
      <c r="D4129" s="40"/>
      <c r="E4129" s="40"/>
      <c r="F4129" s="41"/>
      <c r="G4129" s="117"/>
    </row>
    <row r="4130" spans="1:7" s="118" customFormat="1" ht="12.75" x14ac:dyDescent="0.2">
      <c r="A4130" s="42"/>
      <c r="B4130" s="79"/>
      <c r="C4130" s="40"/>
      <c r="D4130" s="40"/>
      <c r="E4130" s="40"/>
      <c r="F4130" s="41"/>
      <c r="G4130" s="117"/>
    </row>
    <row r="4131" spans="1:7" s="118" customFormat="1" ht="12.75" x14ac:dyDescent="0.2">
      <c r="A4131" s="42"/>
      <c r="B4131" s="79"/>
      <c r="C4131" s="40"/>
      <c r="D4131" s="40"/>
      <c r="E4131" s="40"/>
      <c r="F4131" s="41"/>
      <c r="G4131" s="117"/>
    </row>
    <row r="4132" spans="1:7" s="118" customFormat="1" ht="12.75" x14ac:dyDescent="0.2">
      <c r="A4132" s="42"/>
      <c r="B4132" s="79"/>
      <c r="C4132" s="40"/>
      <c r="D4132" s="40"/>
      <c r="E4132" s="40"/>
      <c r="F4132" s="41"/>
      <c r="G4132" s="117"/>
    </row>
    <row r="4133" spans="1:7" s="118" customFormat="1" ht="12.75" x14ac:dyDescent="0.2">
      <c r="A4133" s="42"/>
      <c r="B4133" s="79"/>
      <c r="C4133" s="40"/>
      <c r="D4133" s="40"/>
      <c r="E4133" s="40"/>
      <c r="F4133" s="41"/>
      <c r="G4133" s="117"/>
    </row>
  </sheetData>
  <mergeCells count="2">
    <mergeCell ref="E1738:F1738"/>
    <mergeCell ref="E1607:F1607"/>
  </mergeCells>
  <pageMargins left="0.7" right="0.7" top="0.75" bottom="0.75" header="0.3" footer="0.3"/>
  <pageSetup orientation="portrait" r:id="rId1"/>
  <headerFooter>
    <oddHeader>&amp;L&amp;"Tahoma,Italic"&amp;9Bill of Quantities
&amp;D</oddHeader>
    <oddFooter>&amp;L&amp;"Tahoma,Italic"&amp;9Proposed Swimming Pool at Enkapune Cowbow Park- Kajiado&amp;R&amp;"Tahoma,Regular"&amp;9BW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3"/>
  <sheetViews>
    <sheetView view="pageLayout" topLeftCell="A22" zoomScale="91" zoomScaleNormal="100" zoomScaleSheetLayoutView="100" zoomScalePageLayoutView="91" workbookViewId="0">
      <selection activeCell="C48" sqref="C48"/>
    </sheetView>
  </sheetViews>
  <sheetFormatPr defaultRowHeight="12.75" x14ac:dyDescent="0.2"/>
  <cols>
    <col min="1" max="1" width="5" style="454" customWidth="1"/>
    <col min="2" max="2" width="51.85546875" style="455" customWidth="1"/>
    <col min="3" max="3" width="6.5703125" style="451" customWidth="1"/>
    <col min="4" max="4" width="9" style="451" customWidth="1"/>
    <col min="5" max="5" width="15.28515625" style="452" customWidth="1"/>
    <col min="6" max="6" width="11" style="417" bestFit="1" customWidth="1"/>
    <col min="7" max="16384" width="9.140625" style="438"/>
  </cols>
  <sheetData>
    <row r="1" spans="1:5" ht="18.95" customHeight="1" x14ac:dyDescent="0.2">
      <c r="A1" s="458" t="s">
        <v>353</v>
      </c>
      <c r="B1" s="459"/>
      <c r="C1" s="459"/>
      <c r="D1" s="459"/>
      <c r="E1" s="460"/>
    </row>
    <row r="2" spans="1:5" ht="39.75" customHeight="1" x14ac:dyDescent="0.2">
      <c r="A2" s="418" t="s">
        <v>36</v>
      </c>
      <c r="B2" s="419" t="s">
        <v>354</v>
      </c>
      <c r="C2" s="461" t="s">
        <v>355</v>
      </c>
      <c r="D2" s="462"/>
      <c r="E2" s="420" t="s">
        <v>356</v>
      </c>
    </row>
    <row r="3" spans="1:5" x14ac:dyDescent="0.2">
      <c r="A3" s="421"/>
      <c r="B3" s="422"/>
      <c r="C3" s="423"/>
      <c r="D3" s="424"/>
      <c r="E3" s="425"/>
    </row>
    <row r="4" spans="1:5" x14ac:dyDescent="0.2">
      <c r="A4" s="421"/>
      <c r="B4" s="422"/>
      <c r="C4" s="426"/>
      <c r="D4" s="427"/>
      <c r="E4" s="428"/>
    </row>
    <row r="5" spans="1:5" x14ac:dyDescent="0.2">
      <c r="A5" s="429"/>
      <c r="B5" s="422"/>
      <c r="C5" s="426"/>
      <c r="D5" s="427"/>
      <c r="E5" s="428"/>
    </row>
    <row r="6" spans="1:5" x14ac:dyDescent="0.2">
      <c r="A6" s="429" t="s">
        <v>7</v>
      </c>
      <c r="B6" s="422" t="s">
        <v>357</v>
      </c>
      <c r="C6" s="463">
        <f>'Builder''s work'!F1605+'Builder''s work'!F1603+'Builder''s work'!F1601</f>
        <v>6255980</v>
      </c>
      <c r="D6" s="464"/>
      <c r="E6" s="428"/>
    </row>
    <row r="7" spans="1:5" x14ac:dyDescent="0.2">
      <c r="A7" s="429"/>
      <c r="B7" s="422"/>
      <c r="C7" s="430"/>
      <c r="D7" s="431"/>
      <c r="E7" s="428"/>
    </row>
    <row r="8" spans="1:5" x14ac:dyDescent="0.2">
      <c r="A8" s="429" t="s">
        <v>9</v>
      </c>
      <c r="B8" s="432" t="s">
        <v>358</v>
      </c>
      <c r="C8" s="465">
        <f>PC!F34</f>
        <v>907100</v>
      </c>
      <c r="D8" s="466"/>
      <c r="E8" s="433"/>
    </row>
    <row r="9" spans="1:5" x14ac:dyDescent="0.2">
      <c r="A9" s="429"/>
      <c r="B9" s="432"/>
      <c r="C9" s="434"/>
      <c r="D9" s="435"/>
      <c r="E9" s="433"/>
    </row>
    <row r="10" spans="1:5" x14ac:dyDescent="0.2">
      <c r="A10" s="429"/>
      <c r="B10" s="432"/>
      <c r="C10" s="434"/>
      <c r="D10" s="435"/>
      <c r="E10" s="433"/>
    </row>
    <row r="11" spans="1:5" x14ac:dyDescent="0.2">
      <c r="A11" s="429"/>
      <c r="B11" s="432"/>
      <c r="C11" s="434"/>
      <c r="D11" s="435"/>
      <c r="E11" s="433"/>
    </row>
    <row r="12" spans="1:5" x14ac:dyDescent="0.2">
      <c r="A12" s="429"/>
      <c r="B12" s="432"/>
      <c r="C12" s="434"/>
      <c r="D12" s="435"/>
      <c r="E12" s="433"/>
    </row>
    <row r="13" spans="1:5" x14ac:dyDescent="0.2">
      <c r="A13" s="429"/>
      <c r="B13" s="432"/>
      <c r="C13" s="434"/>
      <c r="D13" s="435"/>
      <c r="E13" s="433"/>
    </row>
    <row r="14" spans="1:5" x14ac:dyDescent="0.2">
      <c r="A14" s="429"/>
      <c r="B14" s="432"/>
      <c r="C14" s="434"/>
      <c r="D14" s="435"/>
      <c r="E14" s="433"/>
    </row>
    <row r="15" spans="1:5" x14ac:dyDescent="0.2">
      <c r="A15" s="429"/>
      <c r="B15" s="422"/>
      <c r="C15" s="436"/>
      <c r="D15" s="437"/>
      <c r="E15" s="428"/>
    </row>
    <row r="16" spans="1:5" x14ac:dyDescent="0.2">
      <c r="A16" s="421"/>
      <c r="B16" s="422"/>
      <c r="C16" s="434"/>
      <c r="D16" s="437"/>
      <c r="E16" s="428"/>
    </row>
    <row r="17" spans="1:6" ht="13.5" thickBot="1" x14ac:dyDescent="0.25">
      <c r="A17" s="421"/>
      <c r="B17" s="422"/>
      <c r="C17" s="426"/>
      <c r="D17" s="437"/>
      <c r="E17" s="428"/>
    </row>
    <row r="18" spans="1:6" ht="36" customHeight="1" thickBot="1" x14ac:dyDescent="0.25">
      <c r="A18" s="467" t="s">
        <v>359</v>
      </c>
      <c r="B18" s="468"/>
      <c r="C18" s="469">
        <f>SUM(C6:D8)</f>
        <v>7163080</v>
      </c>
      <c r="D18" s="470"/>
      <c r="E18" s="439"/>
    </row>
    <row r="19" spans="1:6" x14ac:dyDescent="0.2">
      <c r="A19" s="440"/>
      <c r="B19" s="440"/>
      <c r="C19" s="440"/>
      <c r="D19" s="441"/>
      <c r="E19" s="442"/>
    </row>
    <row r="20" spans="1:6" s="445" customFormat="1" x14ac:dyDescent="0.2">
      <c r="A20" s="440"/>
      <c r="B20" s="440"/>
      <c r="C20" s="440"/>
      <c r="D20" s="443"/>
      <c r="E20" s="444"/>
      <c r="F20" s="417"/>
    </row>
    <row r="21" spans="1:6" s="445" customFormat="1" x14ac:dyDescent="0.2">
      <c r="A21" s="440"/>
      <c r="B21" s="440"/>
      <c r="C21" s="440"/>
      <c r="D21" s="443"/>
      <c r="E21" s="444"/>
      <c r="F21" s="417"/>
    </row>
    <row r="22" spans="1:6" s="446" customFormat="1" x14ac:dyDescent="0.2">
      <c r="A22" s="440" t="s">
        <v>360</v>
      </c>
      <c r="B22" s="440"/>
      <c r="C22" s="440"/>
      <c r="D22" s="443"/>
      <c r="E22" s="444"/>
      <c r="F22" s="417"/>
    </row>
    <row r="23" spans="1:6" x14ac:dyDescent="0.2">
      <c r="A23" s="440"/>
      <c r="B23" s="440"/>
      <c r="C23" s="440"/>
      <c r="D23" s="440"/>
      <c r="E23" s="442"/>
    </row>
    <row r="24" spans="1:6" x14ac:dyDescent="0.2">
      <c r="A24" s="440"/>
      <c r="B24" s="440"/>
      <c r="C24" s="440"/>
      <c r="D24" s="440"/>
      <c r="E24" s="442"/>
    </row>
    <row r="25" spans="1:6" x14ac:dyDescent="0.2">
      <c r="A25" s="440" t="s">
        <v>361</v>
      </c>
      <c r="B25" s="440"/>
      <c r="C25" s="440"/>
      <c r="D25" s="440"/>
      <c r="E25" s="442"/>
    </row>
    <row r="26" spans="1:6" x14ac:dyDescent="0.2">
      <c r="A26" s="440"/>
      <c r="B26" s="440"/>
      <c r="C26" s="440"/>
      <c r="D26" s="440"/>
      <c r="E26" s="442"/>
    </row>
    <row r="27" spans="1:6" x14ac:dyDescent="0.2">
      <c r="A27" s="440" t="s">
        <v>362</v>
      </c>
      <c r="B27" s="440"/>
      <c r="C27" s="440"/>
      <c r="D27" s="440"/>
      <c r="E27" s="442"/>
    </row>
    <row r="28" spans="1:6" x14ac:dyDescent="0.2">
      <c r="A28" s="440"/>
      <c r="B28" s="440"/>
      <c r="C28" s="440"/>
      <c r="D28" s="440"/>
      <c r="E28" s="442"/>
    </row>
    <row r="29" spans="1:6" x14ac:dyDescent="0.2">
      <c r="A29" s="440" t="s">
        <v>362</v>
      </c>
      <c r="B29" s="440"/>
      <c r="C29" s="440"/>
      <c r="D29" s="440"/>
      <c r="E29" s="442"/>
    </row>
    <row r="30" spans="1:6" x14ac:dyDescent="0.2">
      <c r="A30" s="440"/>
      <c r="B30" s="440"/>
      <c r="C30" s="440"/>
      <c r="D30" s="440"/>
      <c r="E30" s="442"/>
    </row>
    <row r="31" spans="1:6" ht="13.5" thickBot="1" x14ac:dyDescent="0.25">
      <c r="A31" s="447"/>
      <c r="B31" s="447"/>
      <c r="C31" s="447"/>
      <c r="D31" s="447"/>
      <c r="E31" s="448"/>
    </row>
    <row r="32" spans="1:6" x14ac:dyDescent="0.2">
      <c r="A32" s="440"/>
      <c r="B32" s="440"/>
      <c r="C32" s="440"/>
      <c r="D32" s="440"/>
      <c r="E32" s="442"/>
    </row>
    <row r="33" spans="1:5" x14ac:dyDescent="0.2">
      <c r="A33" s="440"/>
      <c r="B33" s="440"/>
      <c r="C33" s="440"/>
      <c r="D33" s="440"/>
      <c r="E33" s="442"/>
    </row>
    <row r="34" spans="1:5" x14ac:dyDescent="0.2">
      <c r="A34" s="440" t="s">
        <v>363</v>
      </c>
      <c r="B34" s="440"/>
      <c r="C34" s="440"/>
      <c r="D34" s="440"/>
      <c r="E34" s="442"/>
    </row>
    <row r="35" spans="1:5" x14ac:dyDescent="0.2">
      <c r="A35" s="440"/>
      <c r="B35" s="440"/>
      <c r="C35" s="440"/>
      <c r="D35" s="440"/>
      <c r="E35" s="442"/>
    </row>
    <row r="36" spans="1:5" x14ac:dyDescent="0.2">
      <c r="A36" s="440"/>
      <c r="B36" s="440"/>
      <c r="C36" s="440"/>
      <c r="D36" s="440"/>
      <c r="E36" s="442"/>
    </row>
    <row r="37" spans="1:5" x14ac:dyDescent="0.2">
      <c r="A37" s="440" t="s">
        <v>364</v>
      </c>
      <c r="B37" s="440"/>
      <c r="C37" s="440"/>
      <c r="D37" s="440"/>
      <c r="E37" s="442"/>
    </row>
    <row r="38" spans="1:5" x14ac:dyDescent="0.2">
      <c r="A38" s="440"/>
      <c r="B38" s="440"/>
      <c r="C38" s="440"/>
      <c r="D38" s="440"/>
      <c r="E38" s="442"/>
    </row>
    <row r="39" spans="1:5" x14ac:dyDescent="0.2">
      <c r="A39" s="440"/>
      <c r="B39" s="440"/>
      <c r="C39" s="440"/>
      <c r="D39" s="440"/>
      <c r="E39" s="442"/>
    </row>
    <row r="40" spans="1:5" x14ac:dyDescent="0.2">
      <c r="A40" s="440" t="s">
        <v>365</v>
      </c>
      <c r="B40" s="440"/>
      <c r="C40" s="440"/>
      <c r="D40" s="440"/>
      <c r="E40" s="442"/>
    </row>
    <row r="41" spans="1:5" x14ac:dyDescent="0.2">
      <c r="A41" s="440"/>
      <c r="B41" s="440"/>
      <c r="C41" s="440"/>
      <c r="D41" s="440"/>
      <c r="E41" s="442"/>
    </row>
    <row r="42" spans="1:5" ht="13.5" thickBot="1" x14ac:dyDescent="0.25">
      <c r="A42" s="447"/>
      <c r="B42" s="447"/>
      <c r="C42" s="447"/>
      <c r="D42" s="447"/>
      <c r="E42" s="448"/>
    </row>
    <row r="43" spans="1:5" x14ac:dyDescent="0.2">
      <c r="A43" s="440"/>
      <c r="B43" s="440"/>
      <c r="C43" s="440"/>
      <c r="D43" s="440"/>
      <c r="E43" s="442"/>
    </row>
    <row r="44" spans="1:5" x14ac:dyDescent="0.2">
      <c r="A44" s="440"/>
      <c r="B44" s="440"/>
      <c r="C44" s="440"/>
      <c r="D44" s="440"/>
      <c r="E44" s="442"/>
    </row>
    <row r="45" spans="1:5" x14ac:dyDescent="0.2">
      <c r="A45" s="440" t="s">
        <v>366</v>
      </c>
      <c r="B45" s="440"/>
      <c r="C45" s="440"/>
      <c r="D45" s="440"/>
      <c r="E45" s="442"/>
    </row>
    <row r="46" spans="1:5" x14ac:dyDescent="0.2">
      <c r="A46" s="440"/>
      <c r="B46" s="440"/>
      <c r="C46" s="440"/>
      <c r="D46" s="440"/>
      <c r="E46" s="442"/>
    </row>
    <row r="47" spans="1:5" x14ac:dyDescent="0.2">
      <c r="A47" s="440"/>
      <c r="B47" s="440"/>
      <c r="C47" s="440"/>
      <c r="D47" s="440"/>
      <c r="E47" s="442"/>
    </row>
    <row r="48" spans="1:5" x14ac:dyDescent="0.2">
      <c r="A48" s="440" t="s">
        <v>367</v>
      </c>
      <c r="B48" s="440"/>
      <c r="C48" s="440"/>
      <c r="D48" s="440"/>
      <c r="E48" s="442"/>
    </row>
    <row r="49" spans="1:5" x14ac:dyDescent="0.2">
      <c r="A49" s="440"/>
      <c r="B49" s="440"/>
      <c r="C49" s="440"/>
      <c r="D49" s="440"/>
      <c r="E49" s="442"/>
    </row>
    <row r="50" spans="1:5" x14ac:dyDescent="0.2">
      <c r="A50" s="440"/>
      <c r="B50" s="440"/>
      <c r="C50" s="440"/>
      <c r="D50" s="440"/>
      <c r="E50" s="442"/>
    </row>
    <row r="51" spans="1:5" x14ac:dyDescent="0.2">
      <c r="A51" s="440" t="s">
        <v>368</v>
      </c>
      <c r="B51" s="440"/>
      <c r="C51" s="440"/>
      <c r="D51" s="440"/>
      <c r="E51" s="442"/>
    </row>
    <row r="52" spans="1:5" x14ac:dyDescent="0.2">
      <c r="A52" s="440"/>
      <c r="B52" s="440"/>
      <c r="C52" s="440"/>
      <c r="D52" s="440"/>
      <c r="E52" s="442"/>
    </row>
    <row r="53" spans="1:5" x14ac:dyDescent="0.2">
      <c r="A53" s="440"/>
      <c r="B53" s="440"/>
      <c r="C53" s="440"/>
      <c r="D53" s="440"/>
      <c r="E53" s="442"/>
    </row>
    <row r="54" spans="1:5" x14ac:dyDescent="0.2">
      <c r="A54" s="440"/>
      <c r="B54" s="440"/>
      <c r="C54" s="440"/>
      <c r="D54" s="440"/>
      <c r="E54" s="442"/>
    </row>
    <row r="55" spans="1:5" x14ac:dyDescent="0.2">
      <c r="A55" s="440"/>
      <c r="B55" s="440"/>
      <c r="C55" s="440"/>
      <c r="D55" s="440"/>
      <c r="E55" s="442"/>
    </row>
    <row r="56" spans="1:5" ht="13.5" thickBot="1" x14ac:dyDescent="0.25">
      <c r="A56" s="447"/>
      <c r="B56" s="447"/>
      <c r="C56" s="447"/>
      <c r="D56" s="449"/>
      <c r="E56" s="448"/>
    </row>
    <row r="98" spans="1:6" s="453" customFormat="1" x14ac:dyDescent="0.15">
      <c r="A98" s="450"/>
      <c r="B98" s="417"/>
      <c r="C98" s="451"/>
      <c r="D98" s="451"/>
      <c r="E98" s="452"/>
      <c r="F98" s="451"/>
    </row>
    <row r="99" spans="1:6" s="453" customFormat="1" x14ac:dyDescent="0.15">
      <c r="A99" s="450"/>
      <c r="B99" s="417"/>
      <c r="C99" s="451"/>
      <c r="D99" s="451"/>
      <c r="E99" s="452"/>
      <c r="F99" s="451"/>
    </row>
    <row r="100" spans="1:6" s="453" customFormat="1" x14ac:dyDescent="0.15">
      <c r="A100" s="450"/>
      <c r="B100" s="417"/>
      <c r="C100" s="451"/>
      <c r="D100" s="451"/>
      <c r="E100" s="452"/>
      <c r="F100" s="451"/>
    </row>
    <row r="101" spans="1:6" s="453" customFormat="1" x14ac:dyDescent="0.15">
      <c r="A101" s="450"/>
      <c r="B101" s="417"/>
      <c r="C101" s="451"/>
      <c r="D101" s="451"/>
      <c r="E101" s="452"/>
      <c r="F101" s="451"/>
    </row>
    <row r="102" spans="1:6" s="453" customFormat="1" x14ac:dyDescent="0.15">
      <c r="A102" s="450"/>
      <c r="B102" s="417"/>
      <c r="C102" s="451"/>
      <c r="D102" s="451"/>
      <c r="E102" s="452"/>
      <c r="F102" s="451"/>
    </row>
    <row r="103" spans="1:6" s="453" customFormat="1" x14ac:dyDescent="0.15">
      <c r="A103" s="450"/>
      <c r="B103" s="417"/>
      <c r="C103" s="451"/>
      <c r="D103" s="451"/>
      <c r="E103" s="452"/>
      <c r="F103" s="451"/>
    </row>
  </sheetData>
  <mergeCells count="6">
    <mergeCell ref="A1:E1"/>
    <mergeCell ref="C2:D2"/>
    <mergeCell ref="C6:D6"/>
    <mergeCell ref="C8:D8"/>
    <mergeCell ref="A18:B18"/>
    <mergeCell ref="C18:D18"/>
  </mergeCells>
  <pageMargins left="0.70866141732283461" right="0.39370078740157483" top="0.74803149606299213" bottom="0.51181102362204722" header="0.31496062992125984" footer="0.31496062992125984"/>
  <pageSetup paperSize="9" orientation="portrait" r:id="rId1"/>
  <headerFooter alignWithMargins="0">
    <oddHeader>&amp;L&amp;"Tahoma,Italic"&amp;9Bill of Quantities
&amp;D</oddHeader>
    <oddFooter>&amp;L&amp;"Tahoma,Italic"&amp;9Proposed Swimming Pool at Enkapune Cowbow Park- Kajiado&amp;R&amp;"Tahoma,Italic"&amp;9GS/ 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02"/>
  <sheetViews>
    <sheetView view="pageLayout" topLeftCell="A67" zoomScaleNormal="100" workbookViewId="0">
      <selection activeCell="C5" sqref="C5"/>
    </sheetView>
  </sheetViews>
  <sheetFormatPr defaultRowHeight="15" x14ac:dyDescent="0.25"/>
  <cols>
    <col min="1" max="1" width="7.85546875" style="256" customWidth="1"/>
    <col min="2" max="2" width="38.7109375" style="196" customWidth="1"/>
    <col min="3" max="3" width="9.140625" style="99"/>
    <col min="4" max="4" width="9.28515625" style="99" customWidth="1"/>
    <col min="5" max="5" width="11.7109375" style="258" customWidth="1"/>
    <col min="6" max="6" width="12.7109375" style="118" customWidth="1"/>
  </cols>
  <sheetData>
    <row r="1" spans="1:6" x14ac:dyDescent="0.25">
      <c r="A1" s="1" t="s">
        <v>0</v>
      </c>
      <c r="B1" s="2" t="s">
        <v>1</v>
      </c>
      <c r="C1" s="3" t="s">
        <v>2</v>
      </c>
      <c r="D1" s="3" t="s">
        <v>3</v>
      </c>
      <c r="E1" s="4" t="s">
        <v>4</v>
      </c>
      <c r="F1" s="5" t="s">
        <v>5</v>
      </c>
    </row>
    <row r="2" spans="1:6" x14ac:dyDescent="0.25">
      <c r="A2" s="6"/>
      <c r="B2" s="11"/>
      <c r="C2" s="8"/>
      <c r="D2" s="8"/>
      <c r="E2" s="9"/>
      <c r="F2" s="10"/>
    </row>
    <row r="3" spans="1:6" ht="25.5" x14ac:dyDescent="0.25">
      <c r="A3" s="6"/>
      <c r="B3" s="12" t="s">
        <v>352</v>
      </c>
      <c r="C3" s="8"/>
      <c r="D3" s="8"/>
      <c r="E3" s="9"/>
      <c r="F3" s="10"/>
    </row>
    <row r="4" spans="1:6" x14ac:dyDescent="0.25">
      <c r="A4" s="6"/>
      <c r="B4" s="12"/>
      <c r="C4" s="8"/>
      <c r="D4" s="8"/>
      <c r="E4" s="9"/>
      <c r="F4" s="10"/>
    </row>
    <row r="5" spans="1:6" ht="76.5" x14ac:dyDescent="0.25">
      <c r="A5" s="6"/>
      <c r="B5" s="12" t="s">
        <v>343</v>
      </c>
      <c r="C5" s="8"/>
      <c r="D5" s="8"/>
      <c r="E5" s="9"/>
      <c r="F5" s="10"/>
    </row>
    <row r="6" spans="1:6" x14ac:dyDescent="0.25">
      <c r="A6" s="6"/>
      <c r="B6" s="29"/>
      <c r="C6" s="8"/>
      <c r="D6" s="8"/>
      <c r="E6" s="9"/>
      <c r="F6" s="10"/>
    </row>
    <row r="7" spans="1:6" x14ac:dyDescent="0.25">
      <c r="A7" s="6"/>
      <c r="B7" s="137" t="s">
        <v>344</v>
      </c>
      <c r="C7" s="8"/>
      <c r="D7" s="8"/>
      <c r="E7" s="9"/>
      <c r="F7" s="10"/>
    </row>
    <row r="8" spans="1:6" x14ac:dyDescent="0.25">
      <c r="A8" s="6"/>
      <c r="B8" s="138"/>
      <c r="C8" s="8"/>
      <c r="D8" s="8"/>
      <c r="E8" s="9"/>
      <c r="F8" s="10"/>
    </row>
    <row r="9" spans="1:6" x14ac:dyDescent="0.25">
      <c r="A9" s="6"/>
      <c r="B9" s="137" t="s">
        <v>345</v>
      </c>
      <c r="C9" s="8"/>
      <c r="D9" s="8"/>
      <c r="E9" s="9"/>
      <c r="F9" s="10"/>
    </row>
    <row r="10" spans="1:6" x14ac:dyDescent="0.25">
      <c r="A10" s="6"/>
      <c r="B10" s="138"/>
      <c r="C10" s="8"/>
      <c r="D10" s="8"/>
      <c r="E10" s="9"/>
      <c r="F10" s="10"/>
    </row>
    <row r="11" spans="1:6" ht="51.75" x14ac:dyDescent="0.25">
      <c r="A11" s="6" t="s">
        <v>7</v>
      </c>
      <c r="B11" s="138" t="s">
        <v>349</v>
      </c>
      <c r="C11" s="8"/>
      <c r="D11" s="8"/>
      <c r="E11" s="9"/>
      <c r="F11" s="10">
        <v>312800</v>
      </c>
    </row>
    <row r="12" spans="1:6" x14ac:dyDescent="0.25">
      <c r="A12" s="6"/>
      <c r="B12" s="138"/>
      <c r="C12" s="8"/>
      <c r="D12" s="8"/>
      <c r="E12" s="9"/>
      <c r="F12" s="10"/>
    </row>
    <row r="13" spans="1:6" x14ac:dyDescent="0.25">
      <c r="A13" s="6"/>
      <c r="B13" s="137" t="s">
        <v>346</v>
      </c>
      <c r="C13" s="8"/>
      <c r="D13" s="8"/>
      <c r="E13" s="9"/>
      <c r="F13" s="10"/>
    </row>
    <row r="14" spans="1:6" x14ac:dyDescent="0.25">
      <c r="A14" s="6"/>
      <c r="B14" s="12"/>
      <c r="C14" s="8"/>
      <c r="D14" s="8"/>
      <c r="E14" s="9"/>
      <c r="F14" s="10"/>
    </row>
    <row r="15" spans="1:6" ht="51.75" x14ac:dyDescent="0.25">
      <c r="A15" s="6" t="s">
        <v>9</v>
      </c>
      <c r="B15" s="138" t="s">
        <v>350</v>
      </c>
      <c r="C15" s="8"/>
      <c r="D15" s="8"/>
      <c r="E15" s="9"/>
      <c r="F15" s="10">
        <v>312800</v>
      </c>
    </row>
    <row r="16" spans="1:6" x14ac:dyDescent="0.25">
      <c r="A16" s="6"/>
      <c r="B16" s="12"/>
      <c r="C16" s="8"/>
      <c r="D16" s="8"/>
      <c r="E16" s="9"/>
      <c r="F16" s="10"/>
    </row>
    <row r="17" spans="1:6" x14ac:dyDescent="0.25">
      <c r="A17" s="6"/>
      <c r="B17" s="137" t="s">
        <v>347</v>
      </c>
      <c r="C17" s="8"/>
      <c r="D17" s="8"/>
      <c r="E17" s="9"/>
      <c r="F17" s="10"/>
    </row>
    <row r="18" spans="1:6" x14ac:dyDescent="0.25">
      <c r="A18" s="6"/>
      <c r="B18" s="138"/>
      <c r="C18" s="8"/>
      <c r="D18" s="8"/>
      <c r="E18" s="9"/>
      <c r="F18" s="10"/>
    </row>
    <row r="19" spans="1:6" ht="51.75" x14ac:dyDescent="0.25">
      <c r="A19" s="6" t="s">
        <v>10</v>
      </c>
      <c r="B19" s="138" t="s">
        <v>351</v>
      </c>
      <c r="C19" s="8"/>
      <c r="D19" s="8"/>
      <c r="E19" s="9"/>
      <c r="F19" s="10">
        <v>281500</v>
      </c>
    </row>
    <row r="20" spans="1:6" x14ac:dyDescent="0.25">
      <c r="A20" s="6"/>
      <c r="B20" s="12"/>
      <c r="C20" s="8"/>
      <c r="D20" s="8"/>
      <c r="E20" s="9"/>
      <c r="F20" s="10"/>
    </row>
    <row r="21" spans="1:6" x14ac:dyDescent="0.25">
      <c r="A21" s="6"/>
      <c r="B21" s="138"/>
      <c r="C21" s="8"/>
      <c r="D21" s="8"/>
      <c r="E21" s="9"/>
      <c r="F21" s="10"/>
    </row>
    <row r="22" spans="1:6" x14ac:dyDescent="0.25">
      <c r="A22" s="6"/>
      <c r="B22" s="245"/>
      <c r="C22" s="8"/>
      <c r="D22" s="8"/>
      <c r="E22" s="9"/>
      <c r="F22" s="10"/>
    </row>
    <row r="23" spans="1:6" x14ac:dyDescent="0.25">
      <c r="A23" s="6"/>
      <c r="B23" s="136"/>
      <c r="C23" s="8"/>
      <c r="D23" s="8"/>
      <c r="E23" s="9"/>
      <c r="F23" s="10"/>
    </row>
    <row r="24" spans="1:6" x14ac:dyDescent="0.25">
      <c r="A24" s="6"/>
      <c r="B24" s="137"/>
      <c r="C24" s="8"/>
      <c r="D24" s="8"/>
      <c r="E24" s="9"/>
      <c r="F24" s="10"/>
    </row>
    <row r="25" spans="1:6" x14ac:dyDescent="0.25">
      <c r="A25" s="6"/>
      <c r="B25" s="137"/>
      <c r="C25" s="8"/>
      <c r="D25" s="8"/>
      <c r="E25" s="9"/>
      <c r="F25" s="10"/>
    </row>
    <row r="26" spans="1:6" x14ac:dyDescent="0.25">
      <c r="A26" s="6"/>
      <c r="B26" s="137"/>
      <c r="C26" s="8"/>
      <c r="D26" s="8"/>
      <c r="E26" s="9"/>
      <c r="F26" s="10"/>
    </row>
    <row r="27" spans="1:6" x14ac:dyDescent="0.25">
      <c r="A27" s="6"/>
      <c r="B27" s="138"/>
      <c r="C27" s="8"/>
      <c r="D27" s="8"/>
      <c r="E27" s="9"/>
      <c r="F27" s="10"/>
    </row>
    <row r="28" spans="1:6" x14ac:dyDescent="0.25">
      <c r="A28" s="6"/>
      <c r="B28" s="29"/>
      <c r="C28" s="8"/>
      <c r="D28" s="8"/>
      <c r="E28" s="9"/>
      <c r="F28" s="10"/>
    </row>
    <row r="29" spans="1:6" x14ac:dyDescent="0.25">
      <c r="A29" s="6"/>
      <c r="B29" s="137"/>
      <c r="C29" s="8"/>
      <c r="D29" s="8"/>
      <c r="E29" s="9"/>
      <c r="F29" s="10"/>
    </row>
    <row r="30" spans="1:6" x14ac:dyDescent="0.25">
      <c r="A30" s="6"/>
      <c r="B30" s="29"/>
      <c r="C30" s="8"/>
      <c r="D30" s="8"/>
      <c r="E30" s="9"/>
      <c r="F30" s="10"/>
    </row>
    <row r="31" spans="1:6" x14ac:dyDescent="0.25">
      <c r="A31" s="6"/>
      <c r="B31" s="29"/>
      <c r="C31" s="8"/>
      <c r="D31" s="8"/>
      <c r="E31" s="9"/>
      <c r="F31" s="10"/>
    </row>
    <row r="32" spans="1:6" x14ac:dyDescent="0.25">
      <c r="A32" s="6"/>
      <c r="B32" s="29"/>
      <c r="C32" s="8"/>
      <c r="D32" s="8"/>
      <c r="E32" s="9"/>
      <c r="F32" s="10"/>
    </row>
    <row r="33" spans="1:6" x14ac:dyDescent="0.25">
      <c r="A33" s="6"/>
      <c r="B33" s="29"/>
      <c r="C33" s="8"/>
      <c r="D33" s="8"/>
      <c r="E33" s="9"/>
      <c r="F33" s="10"/>
    </row>
    <row r="34" spans="1:6" ht="26.25" thickBot="1" x14ac:dyDescent="0.3">
      <c r="A34" s="30"/>
      <c r="B34" s="31" t="s">
        <v>348</v>
      </c>
      <c r="C34" s="32"/>
      <c r="D34" s="32"/>
      <c r="E34" s="33"/>
      <c r="F34" s="34">
        <f>SUM(F11:F19)</f>
        <v>907100</v>
      </c>
    </row>
    <row r="35" spans="1:6" ht="15.75" thickBot="1" x14ac:dyDescent="0.3">
      <c r="A35" s="246"/>
      <c r="B35" s="247"/>
      <c r="C35" s="248"/>
      <c r="D35" s="248"/>
      <c r="E35" s="249"/>
      <c r="F35" s="250"/>
    </row>
    <row r="36" spans="1:6" x14ac:dyDescent="0.25">
      <c r="A36" s="251"/>
      <c r="B36" s="252"/>
      <c r="C36" s="253"/>
      <c r="D36" s="253"/>
      <c r="E36" s="254"/>
      <c r="F36" s="255"/>
    </row>
    <row r="38" spans="1:6" x14ac:dyDescent="0.25">
      <c r="B38" s="257"/>
    </row>
    <row r="39" spans="1:6" x14ac:dyDescent="0.25">
      <c r="B39" s="259"/>
    </row>
    <row r="41" spans="1:6" x14ac:dyDescent="0.25">
      <c r="B41" s="260"/>
    </row>
    <row r="42" spans="1:6" x14ac:dyDescent="0.25">
      <c r="B42" s="257"/>
    </row>
    <row r="46" spans="1:6" s="99" customFormat="1" ht="12.75" x14ac:dyDescent="0.2">
      <c r="A46" s="256"/>
      <c r="B46" s="261"/>
      <c r="E46" s="258"/>
      <c r="F46" s="118"/>
    </row>
    <row r="47" spans="1:6" s="99" customFormat="1" ht="12.75" x14ac:dyDescent="0.2">
      <c r="A47" s="256"/>
      <c r="B47" s="260"/>
      <c r="E47" s="258"/>
      <c r="F47" s="118"/>
    </row>
    <row r="48" spans="1:6" s="99" customFormat="1" ht="12.75" x14ac:dyDescent="0.2">
      <c r="A48" s="256"/>
      <c r="B48" s="262"/>
      <c r="E48" s="258"/>
      <c r="F48" s="118"/>
    </row>
    <row r="50" spans="1:6" s="99" customFormat="1" ht="12.75" x14ac:dyDescent="0.2">
      <c r="A50" s="256"/>
      <c r="B50" s="261"/>
      <c r="E50" s="258"/>
      <c r="F50" s="118"/>
    </row>
    <row r="51" spans="1:6" s="99" customFormat="1" ht="12.75" x14ac:dyDescent="0.2">
      <c r="A51" s="256"/>
      <c r="B51" s="260"/>
      <c r="E51" s="258"/>
      <c r="F51" s="118"/>
    </row>
    <row r="52" spans="1:6" s="99" customFormat="1" ht="12.75" x14ac:dyDescent="0.2">
      <c r="A52" s="256"/>
      <c r="B52" s="260"/>
      <c r="E52" s="258"/>
      <c r="F52" s="118"/>
    </row>
    <row r="53" spans="1:6" s="99" customFormat="1" ht="12.75" x14ac:dyDescent="0.2">
      <c r="A53" s="256"/>
      <c r="B53" s="260"/>
      <c r="E53" s="258"/>
      <c r="F53" s="118"/>
    </row>
    <row r="54" spans="1:6" s="99" customFormat="1" ht="12.75" x14ac:dyDescent="0.2">
      <c r="A54" s="256"/>
      <c r="B54" s="261"/>
      <c r="E54" s="258"/>
      <c r="F54" s="118"/>
    </row>
    <row r="55" spans="1:6" s="99" customFormat="1" ht="12.75" x14ac:dyDescent="0.2">
      <c r="A55" s="256"/>
      <c r="B55" s="260"/>
      <c r="E55" s="258"/>
      <c r="F55" s="118"/>
    </row>
    <row r="56" spans="1:6" s="99" customFormat="1" ht="12.75" x14ac:dyDescent="0.2">
      <c r="A56" s="256"/>
      <c r="B56" s="261"/>
      <c r="E56" s="258"/>
      <c r="F56" s="118"/>
    </row>
    <row r="57" spans="1:6" s="99" customFormat="1" ht="12.75" x14ac:dyDescent="0.2">
      <c r="A57" s="256"/>
      <c r="B57" s="261"/>
      <c r="E57" s="258"/>
      <c r="F57" s="118"/>
    </row>
    <row r="58" spans="1:6" s="99" customFormat="1" ht="12.75" x14ac:dyDescent="0.2">
      <c r="A58" s="256"/>
      <c r="B58" s="261"/>
      <c r="E58" s="258"/>
      <c r="F58" s="118"/>
    </row>
    <row r="59" spans="1:6" s="99" customFormat="1" ht="12.75" x14ac:dyDescent="0.2">
      <c r="A59" s="256"/>
      <c r="B59" s="261"/>
      <c r="E59" s="258"/>
      <c r="F59" s="118"/>
    </row>
    <row r="60" spans="1:6" s="99" customFormat="1" ht="12.75" x14ac:dyDescent="0.2">
      <c r="A60" s="256"/>
      <c r="B60" s="260"/>
      <c r="E60" s="258"/>
      <c r="F60" s="118"/>
    </row>
    <row r="61" spans="1:6" x14ac:dyDescent="0.25">
      <c r="B61" s="263"/>
    </row>
    <row r="62" spans="1:6" x14ac:dyDescent="0.25">
      <c r="B62" s="260"/>
    </row>
    <row r="63" spans="1:6" x14ac:dyDescent="0.25">
      <c r="B63" s="263"/>
    </row>
    <row r="64" spans="1:6" x14ac:dyDescent="0.25">
      <c r="B64" s="261"/>
    </row>
    <row r="65" spans="1:6" x14ac:dyDescent="0.25">
      <c r="B65" s="261"/>
    </row>
    <row r="66" spans="1:6" x14ac:dyDescent="0.25">
      <c r="B66" s="260"/>
    </row>
    <row r="67" spans="1:6" x14ac:dyDescent="0.25">
      <c r="B67" s="260"/>
    </row>
    <row r="68" spans="1:6" x14ac:dyDescent="0.25">
      <c r="B68" s="260"/>
    </row>
    <row r="70" spans="1:6" x14ac:dyDescent="0.25">
      <c r="B70" s="260"/>
    </row>
    <row r="71" spans="1:6" x14ac:dyDescent="0.25">
      <c r="B71" s="260"/>
    </row>
    <row r="72" spans="1:6" x14ac:dyDescent="0.25">
      <c r="B72" s="260"/>
    </row>
    <row r="74" spans="1:6" ht="15.75" thickBot="1" x14ac:dyDescent="0.3">
      <c r="A74" s="264"/>
      <c r="B74" s="265"/>
      <c r="C74" s="266"/>
      <c r="D74" s="266"/>
      <c r="E74" s="267"/>
      <c r="F74" s="268"/>
    </row>
    <row r="75" spans="1:6" x14ac:dyDescent="0.25">
      <c r="A75" s="251"/>
      <c r="B75" s="252"/>
      <c r="C75" s="253"/>
      <c r="D75" s="253"/>
      <c r="E75" s="254"/>
      <c r="F75" s="255"/>
    </row>
    <row r="77" spans="1:6" s="99" customFormat="1" ht="12.75" x14ac:dyDescent="0.2">
      <c r="A77" s="256"/>
      <c r="B77" s="261"/>
      <c r="E77" s="258"/>
      <c r="F77" s="118"/>
    </row>
    <row r="78" spans="1:6" s="99" customFormat="1" ht="12.75" x14ac:dyDescent="0.2">
      <c r="A78" s="256"/>
      <c r="B78" s="261"/>
      <c r="E78" s="258"/>
      <c r="F78" s="118"/>
    </row>
    <row r="79" spans="1:6" s="99" customFormat="1" ht="12.75" x14ac:dyDescent="0.2">
      <c r="A79" s="256"/>
      <c r="B79" s="269"/>
      <c r="E79" s="258"/>
      <c r="F79" s="118"/>
    </row>
    <row r="80" spans="1:6" s="99" customFormat="1" ht="12.75" x14ac:dyDescent="0.2">
      <c r="A80" s="256"/>
      <c r="B80" s="260"/>
      <c r="E80" s="258"/>
      <c r="F80" s="118"/>
    </row>
    <row r="81" spans="1:6" s="99" customFormat="1" ht="12.75" x14ac:dyDescent="0.2">
      <c r="A81" s="256"/>
      <c r="B81" s="261"/>
      <c r="E81" s="258"/>
      <c r="F81" s="118"/>
    </row>
    <row r="82" spans="1:6" s="99" customFormat="1" ht="12.75" x14ac:dyDescent="0.2">
      <c r="A82" s="256"/>
      <c r="B82" s="261"/>
      <c r="E82" s="258"/>
      <c r="F82" s="118"/>
    </row>
    <row r="83" spans="1:6" s="99" customFormat="1" ht="12.75" x14ac:dyDescent="0.2">
      <c r="A83" s="256"/>
      <c r="B83" s="260"/>
      <c r="E83" s="258"/>
      <c r="F83" s="118"/>
    </row>
    <row r="84" spans="1:6" s="99" customFormat="1" ht="12.75" x14ac:dyDescent="0.2">
      <c r="A84" s="256"/>
      <c r="B84" s="261"/>
      <c r="E84" s="258"/>
      <c r="F84" s="118"/>
    </row>
    <row r="85" spans="1:6" s="99" customFormat="1" ht="12.75" x14ac:dyDescent="0.2">
      <c r="A85" s="256"/>
      <c r="B85" s="260"/>
      <c r="E85" s="258"/>
      <c r="F85" s="118"/>
    </row>
    <row r="86" spans="1:6" s="99" customFormat="1" ht="12.75" x14ac:dyDescent="0.2">
      <c r="A86" s="256"/>
      <c r="B86" s="260"/>
      <c r="E86" s="258"/>
      <c r="F86" s="118"/>
    </row>
    <row r="87" spans="1:6" s="99" customFormat="1" ht="12.75" x14ac:dyDescent="0.2">
      <c r="A87" s="256"/>
      <c r="B87" s="261"/>
      <c r="E87" s="258"/>
      <c r="F87" s="118"/>
    </row>
    <row r="88" spans="1:6" s="99" customFormat="1" ht="12.75" x14ac:dyDescent="0.2">
      <c r="A88" s="256"/>
      <c r="B88" s="261"/>
      <c r="E88" s="258"/>
      <c r="F88" s="118"/>
    </row>
    <row r="89" spans="1:6" s="99" customFormat="1" ht="12.75" x14ac:dyDescent="0.2">
      <c r="A89" s="256"/>
      <c r="B89" s="260"/>
      <c r="E89" s="258"/>
      <c r="F89" s="118"/>
    </row>
    <row r="90" spans="1:6" s="99" customFormat="1" ht="12.75" x14ac:dyDescent="0.2">
      <c r="A90" s="256"/>
      <c r="B90" s="270"/>
      <c r="E90" s="258"/>
      <c r="F90" s="118"/>
    </row>
    <row r="91" spans="1:6" s="99" customFormat="1" x14ac:dyDescent="0.2">
      <c r="A91" s="271"/>
      <c r="B91" s="261"/>
      <c r="E91" s="258"/>
      <c r="F91" s="118"/>
    </row>
    <row r="92" spans="1:6" s="99" customFormat="1" ht="12.75" x14ac:dyDescent="0.2">
      <c r="A92" s="256"/>
      <c r="B92" s="260"/>
      <c r="E92" s="258"/>
      <c r="F92" s="118"/>
    </row>
    <row r="93" spans="1:6" s="118" customFormat="1" ht="12.75" x14ac:dyDescent="0.2">
      <c r="A93" s="256"/>
      <c r="B93" s="260"/>
      <c r="C93" s="99"/>
      <c r="D93" s="99"/>
      <c r="E93" s="258"/>
    </row>
    <row r="94" spans="1:6" s="118" customFormat="1" ht="12.75" x14ac:dyDescent="0.2">
      <c r="A94" s="256"/>
      <c r="B94" s="260"/>
      <c r="C94" s="99"/>
      <c r="D94" s="99"/>
      <c r="E94" s="258"/>
    </row>
    <row r="95" spans="1:6" s="118" customFormat="1" ht="12.75" x14ac:dyDescent="0.2">
      <c r="A95" s="256"/>
      <c r="B95" s="260"/>
      <c r="C95" s="99"/>
      <c r="D95" s="99"/>
      <c r="E95" s="258"/>
    </row>
    <row r="96" spans="1:6" s="118" customFormat="1" ht="12.75" x14ac:dyDescent="0.2">
      <c r="A96" s="256"/>
      <c r="B96" s="261"/>
      <c r="C96" s="99"/>
      <c r="D96" s="99"/>
      <c r="E96" s="258"/>
    </row>
    <row r="97" spans="1:5" s="118" customFormat="1" ht="12.75" x14ac:dyDescent="0.2">
      <c r="A97" s="256"/>
      <c r="B97" s="261"/>
      <c r="C97" s="99"/>
      <c r="D97" s="99"/>
      <c r="E97" s="258"/>
    </row>
    <row r="98" spans="1:5" s="118" customFormat="1" ht="12.75" x14ac:dyDescent="0.2">
      <c r="A98" s="256"/>
      <c r="B98" s="261"/>
      <c r="C98" s="99"/>
      <c r="D98" s="99"/>
      <c r="E98" s="258"/>
    </row>
    <row r="99" spans="1:5" s="118" customFormat="1" ht="12.75" x14ac:dyDescent="0.2">
      <c r="A99" s="256"/>
      <c r="B99" s="260"/>
      <c r="C99" s="99"/>
      <c r="D99" s="99"/>
      <c r="E99" s="258"/>
    </row>
    <row r="100" spans="1:5" s="118" customFormat="1" ht="12.75" x14ac:dyDescent="0.2">
      <c r="A100" s="256"/>
      <c r="B100" s="261"/>
      <c r="C100" s="99"/>
      <c r="D100" s="99"/>
      <c r="E100" s="258"/>
    </row>
    <row r="101" spans="1:5" s="118" customFormat="1" x14ac:dyDescent="0.2">
      <c r="A101" s="271"/>
      <c r="B101" s="261"/>
      <c r="C101" s="99"/>
      <c r="D101" s="99"/>
      <c r="E101" s="272"/>
    </row>
    <row r="102" spans="1:5" s="118" customFormat="1" x14ac:dyDescent="0.2">
      <c r="A102" s="271"/>
      <c r="B102" s="260"/>
      <c r="C102" s="99"/>
      <c r="D102" s="99"/>
      <c r="E102" s="272"/>
    </row>
    <row r="103" spans="1:5" s="118" customFormat="1" x14ac:dyDescent="0.2">
      <c r="A103" s="271"/>
      <c r="B103" s="261"/>
      <c r="C103" s="99"/>
      <c r="D103" s="99"/>
      <c r="E103" s="272"/>
    </row>
    <row r="104" spans="1:5" s="118" customFormat="1" x14ac:dyDescent="0.25">
      <c r="A104" s="271"/>
      <c r="B104" s="273"/>
      <c r="C104" s="99"/>
      <c r="D104" s="99"/>
      <c r="E104" s="272"/>
    </row>
    <row r="105" spans="1:5" s="118" customFormat="1" ht="12.75" x14ac:dyDescent="0.2">
      <c r="A105" s="256"/>
      <c r="B105" s="260"/>
      <c r="C105" s="99"/>
      <c r="D105" s="99"/>
      <c r="E105" s="272"/>
    </row>
    <row r="106" spans="1:5" s="118" customFormat="1" x14ac:dyDescent="0.25">
      <c r="A106" s="271"/>
      <c r="B106" s="273"/>
      <c r="C106" s="99"/>
      <c r="D106" s="99"/>
      <c r="E106" s="272"/>
    </row>
    <row r="107" spans="1:5" s="118" customFormat="1" ht="12.75" x14ac:dyDescent="0.2">
      <c r="A107" s="256"/>
      <c r="B107" s="260"/>
      <c r="C107" s="99"/>
      <c r="D107" s="99"/>
      <c r="E107" s="272"/>
    </row>
    <row r="114" spans="1:6" ht="15.75" thickBot="1" x14ac:dyDescent="0.3">
      <c r="A114" s="264"/>
      <c r="B114" s="265"/>
      <c r="C114" s="266"/>
      <c r="D114" s="266"/>
      <c r="E114" s="267"/>
      <c r="F114" s="268"/>
    </row>
    <row r="115" spans="1:6" x14ac:dyDescent="0.25">
      <c r="A115" s="251"/>
      <c r="B115" s="252"/>
      <c r="C115" s="253"/>
      <c r="D115" s="253"/>
      <c r="E115" s="254"/>
      <c r="F115" s="255"/>
    </row>
    <row r="117" spans="1:6" x14ac:dyDescent="0.25">
      <c r="A117" s="271"/>
      <c r="B117" s="261"/>
      <c r="E117" s="272"/>
    </row>
    <row r="118" spans="1:6" x14ac:dyDescent="0.25">
      <c r="A118" s="271"/>
      <c r="B118" s="260"/>
      <c r="E118" s="272"/>
    </row>
    <row r="119" spans="1:6" x14ac:dyDescent="0.25">
      <c r="A119" s="271"/>
      <c r="B119" s="270"/>
      <c r="E119" s="272"/>
    </row>
    <row r="120" spans="1:6" x14ac:dyDescent="0.25">
      <c r="A120" s="271"/>
      <c r="B120" s="274"/>
      <c r="E120" s="272"/>
    </row>
    <row r="121" spans="1:6" x14ac:dyDescent="0.25">
      <c r="B121" s="274"/>
    </row>
    <row r="123" spans="1:6" x14ac:dyDescent="0.25">
      <c r="A123" s="271"/>
      <c r="B123" s="261"/>
    </row>
    <row r="124" spans="1:6" x14ac:dyDescent="0.25">
      <c r="A124" s="271"/>
      <c r="B124" s="260"/>
    </row>
    <row r="125" spans="1:6" s="99" customFormat="1" x14ac:dyDescent="0.2">
      <c r="A125" s="271"/>
      <c r="B125" s="261"/>
      <c r="E125" s="258"/>
      <c r="F125" s="118"/>
    </row>
    <row r="126" spans="1:6" s="99" customFormat="1" x14ac:dyDescent="0.2">
      <c r="A126" s="271"/>
      <c r="B126" s="260"/>
      <c r="E126" s="258"/>
      <c r="F126" s="118"/>
    </row>
    <row r="127" spans="1:6" s="99" customFormat="1" ht="12.75" x14ac:dyDescent="0.2">
      <c r="A127" s="256"/>
      <c r="B127" s="260"/>
      <c r="E127" s="258"/>
      <c r="F127" s="118"/>
    </row>
    <row r="128" spans="1:6" s="99" customFormat="1" ht="12.75" x14ac:dyDescent="0.2">
      <c r="A128" s="256"/>
      <c r="B128" s="260"/>
      <c r="E128" s="258"/>
      <c r="F128" s="118"/>
    </row>
    <row r="129" spans="1:6" s="99" customFormat="1" ht="12.75" x14ac:dyDescent="0.2">
      <c r="A129" s="256"/>
      <c r="B129" s="261"/>
      <c r="E129" s="258"/>
      <c r="F129" s="118"/>
    </row>
    <row r="130" spans="1:6" s="99" customFormat="1" ht="12.75" x14ac:dyDescent="0.2">
      <c r="A130" s="256"/>
      <c r="B130" s="260"/>
      <c r="E130" s="258"/>
      <c r="F130" s="118"/>
    </row>
    <row r="131" spans="1:6" s="99" customFormat="1" ht="12.75" x14ac:dyDescent="0.2">
      <c r="A131" s="256"/>
      <c r="B131" s="260"/>
      <c r="E131" s="258"/>
      <c r="F131" s="118"/>
    </row>
    <row r="133" spans="1:6" s="99" customFormat="1" ht="12.75" x14ac:dyDescent="0.2">
      <c r="A133" s="256"/>
      <c r="B133" s="261"/>
      <c r="E133" s="258"/>
      <c r="F133" s="118"/>
    </row>
    <row r="134" spans="1:6" s="99" customFormat="1" ht="12.75" x14ac:dyDescent="0.2">
      <c r="A134" s="256"/>
      <c r="B134" s="263"/>
      <c r="E134" s="258"/>
      <c r="F134" s="118"/>
    </row>
    <row r="135" spans="1:6" s="99" customFormat="1" ht="12.75" x14ac:dyDescent="0.2">
      <c r="A135" s="256"/>
      <c r="B135" s="261"/>
      <c r="E135" s="258"/>
      <c r="F135" s="118"/>
    </row>
    <row r="136" spans="1:6" s="99" customFormat="1" ht="12.75" x14ac:dyDescent="0.2">
      <c r="A136" s="256"/>
      <c r="B136" s="260"/>
      <c r="E136" s="258"/>
      <c r="F136" s="118"/>
    </row>
    <row r="137" spans="1:6" s="99" customFormat="1" ht="12.75" x14ac:dyDescent="0.2">
      <c r="A137" s="256"/>
      <c r="B137" s="260"/>
      <c r="E137" s="258"/>
      <c r="F137" s="118"/>
    </row>
    <row r="138" spans="1:6" s="99" customFormat="1" x14ac:dyDescent="0.25">
      <c r="A138" s="256"/>
      <c r="B138" s="259"/>
      <c r="E138" s="258"/>
      <c r="F138" s="118"/>
    </row>
    <row r="139" spans="1:6" s="99" customFormat="1" ht="12.75" x14ac:dyDescent="0.2">
      <c r="A139" s="256"/>
      <c r="B139" s="261"/>
      <c r="E139" s="258"/>
      <c r="F139" s="118"/>
    </row>
    <row r="140" spans="1:6" s="99" customFormat="1" ht="12.75" x14ac:dyDescent="0.2">
      <c r="A140" s="256"/>
      <c r="B140" s="260"/>
      <c r="E140" s="258"/>
      <c r="F140" s="118"/>
    </row>
    <row r="141" spans="1:6" x14ac:dyDescent="0.25">
      <c r="B141" s="261"/>
    </row>
    <row r="142" spans="1:6" x14ac:dyDescent="0.25">
      <c r="B142" s="260"/>
    </row>
    <row r="143" spans="1:6" x14ac:dyDescent="0.25">
      <c r="B143" s="260"/>
    </row>
    <row r="144" spans="1:6" x14ac:dyDescent="0.25">
      <c r="B144" s="260"/>
    </row>
    <row r="145" spans="1:6" x14ac:dyDescent="0.25">
      <c r="B145" s="260"/>
    </row>
    <row r="146" spans="1:6" x14ac:dyDescent="0.25">
      <c r="B146" s="260"/>
    </row>
    <row r="147" spans="1:6" x14ac:dyDescent="0.25">
      <c r="B147" s="260"/>
    </row>
    <row r="148" spans="1:6" x14ac:dyDescent="0.25">
      <c r="B148" s="260"/>
    </row>
    <row r="149" spans="1:6" x14ac:dyDescent="0.25">
      <c r="B149" s="260"/>
    </row>
    <row r="150" spans="1:6" x14ac:dyDescent="0.25">
      <c r="B150" s="260"/>
    </row>
    <row r="151" spans="1:6" x14ac:dyDescent="0.25">
      <c r="B151" s="260"/>
    </row>
    <row r="152" spans="1:6" x14ac:dyDescent="0.25">
      <c r="B152" s="260"/>
    </row>
    <row r="153" spans="1:6" ht="15.75" thickBot="1" x14ac:dyDescent="0.3">
      <c r="A153" s="264"/>
      <c r="B153" s="265"/>
      <c r="C153" s="266"/>
      <c r="D153" s="266"/>
      <c r="E153" s="267"/>
      <c r="F153" s="268"/>
    </row>
    <row r="154" spans="1:6" x14ac:dyDescent="0.25">
      <c r="A154" s="251"/>
      <c r="B154" s="252"/>
      <c r="C154" s="253"/>
      <c r="D154" s="253"/>
      <c r="E154" s="254"/>
      <c r="F154" s="255"/>
    </row>
    <row r="155" spans="1:6" x14ac:dyDescent="0.25">
      <c r="B155" s="275"/>
    </row>
    <row r="156" spans="1:6" x14ac:dyDescent="0.25">
      <c r="A156" s="271"/>
      <c r="B156" s="261"/>
      <c r="E156" s="272"/>
    </row>
    <row r="157" spans="1:6" x14ac:dyDescent="0.25">
      <c r="A157" s="271"/>
      <c r="B157" s="260"/>
      <c r="E157" s="272"/>
    </row>
    <row r="158" spans="1:6" x14ac:dyDescent="0.25">
      <c r="A158" s="271"/>
      <c r="B158" s="261"/>
      <c r="E158" s="272"/>
    </row>
    <row r="159" spans="1:6" x14ac:dyDescent="0.25">
      <c r="A159" s="271"/>
      <c r="B159" s="260"/>
      <c r="E159" s="272"/>
    </row>
    <row r="160" spans="1:6" x14ac:dyDescent="0.25">
      <c r="B160" s="260"/>
      <c r="E160" s="272"/>
    </row>
    <row r="161" spans="1:6" x14ac:dyDescent="0.25">
      <c r="B161" s="260"/>
      <c r="E161" s="272"/>
    </row>
    <row r="162" spans="1:6" x14ac:dyDescent="0.25">
      <c r="B162" s="261"/>
      <c r="E162" s="272"/>
    </row>
    <row r="163" spans="1:6" x14ac:dyDescent="0.25">
      <c r="B163" s="260"/>
      <c r="E163" s="272"/>
    </row>
    <row r="164" spans="1:6" x14ac:dyDescent="0.25">
      <c r="B164" s="260"/>
      <c r="E164" s="272"/>
    </row>
    <row r="165" spans="1:6" x14ac:dyDescent="0.25">
      <c r="B165" s="260"/>
    </row>
    <row r="166" spans="1:6" ht="15.75" thickBot="1" x14ac:dyDescent="0.3">
      <c r="A166" s="264"/>
      <c r="B166" s="265"/>
      <c r="C166" s="266"/>
      <c r="D166" s="266"/>
      <c r="E166" s="267"/>
      <c r="F166" s="268"/>
    </row>
    <row r="167" spans="1:6" x14ac:dyDescent="0.25">
      <c r="B167" s="260"/>
    </row>
    <row r="168" spans="1:6" x14ac:dyDescent="0.25">
      <c r="B168" s="276"/>
      <c r="F168" s="277"/>
    </row>
    <row r="169" spans="1:6" x14ac:dyDescent="0.25">
      <c r="B169" s="260"/>
      <c r="F169" s="277"/>
    </row>
    <row r="170" spans="1:6" x14ac:dyDescent="0.25">
      <c r="B170" s="276"/>
      <c r="F170" s="277"/>
    </row>
    <row r="171" spans="1:6" x14ac:dyDescent="0.25">
      <c r="B171" s="261"/>
      <c r="F171" s="277"/>
    </row>
    <row r="172" spans="1:6" x14ac:dyDescent="0.25">
      <c r="B172" s="276"/>
      <c r="F172" s="277"/>
    </row>
    <row r="173" spans="1:6" x14ac:dyDescent="0.25">
      <c r="B173" s="261"/>
      <c r="F173" s="277"/>
    </row>
    <row r="174" spans="1:6" x14ac:dyDescent="0.25">
      <c r="B174" s="276"/>
      <c r="F174" s="277"/>
    </row>
    <row r="176" spans="1:6" x14ac:dyDescent="0.25">
      <c r="B176" s="276"/>
      <c r="F176" s="277"/>
    </row>
    <row r="199" spans="1:6" ht="15.75" thickBot="1" x14ac:dyDescent="0.3">
      <c r="A199" s="264"/>
      <c r="B199" s="265"/>
      <c r="C199" s="266"/>
      <c r="D199" s="266"/>
      <c r="E199" s="267"/>
      <c r="F199" s="268"/>
    </row>
    <row r="200" spans="1:6" x14ac:dyDescent="0.25">
      <c r="A200" s="251"/>
      <c r="B200" s="252"/>
      <c r="C200" s="253"/>
      <c r="D200" s="253"/>
      <c r="E200" s="254"/>
      <c r="F200" s="255"/>
    </row>
    <row r="201" spans="1:6" x14ac:dyDescent="0.25">
      <c r="B201" s="275"/>
    </row>
    <row r="202" spans="1:6" x14ac:dyDescent="0.25">
      <c r="B202" s="278"/>
    </row>
    <row r="203" spans="1:6" x14ac:dyDescent="0.25">
      <c r="B203" s="279"/>
    </row>
    <row r="204" spans="1:6" x14ac:dyDescent="0.25">
      <c r="B204" s="261"/>
    </row>
    <row r="205" spans="1:6" x14ac:dyDescent="0.25">
      <c r="B205" s="261"/>
    </row>
    <row r="206" spans="1:6" x14ac:dyDescent="0.25">
      <c r="B206" s="261"/>
    </row>
    <row r="207" spans="1:6" x14ac:dyDescent="0.25">
      <c r="B207" s="261"/>
    </row>
    <row r="208" spans="1:6" x14ac:dyDescent="0.25">
      <c r="B208" s="261"/>
    </row>
    <row r="209" spans="1:6" x14ac:dyDescent="0.25">
      <c r="B209" s="263"/>
    </row>
    <row r="210" spans="1:6" x14ac:dyDescent="0.25">
      <c r="B210" s="269"/>
    </row>
    <row r="211" spans="1:6" x14ac:dyDescent="0.25">
      <c r="B211" s="269"/>
    </row>
    <row r="212" spans="1:6" x14ac:dyDescent="0.25">
      <c r="B212" s="260"/>
    </row>
    <row r="213" spans="1:6" x14ac:dyDescent="0.25">
      <c r="B213" s="260"/>
    </row>
    <row r="214" spans="1:6" x14ac:dyDescent="0.25">
      <c r="B214" s="260"/>
    </row>
    <row r="215" spans="1:6" x14ac:dyDescent="0.25">
      <c r="B215" s="280"/>
    </row>
    <row r="216" spans="1:6" x14ac:dyDescent="0.25">
      <c r="B216" s="260"/>
    </row>
    <row r="217" spans="1:6" x14ac:dyDescent="0.25">
      <c r="A217" s="281"/>
      <c r="B217" s="282"/>
      <c r="C217" s="283"/>
      <c r="D217" s="283"/>
      <c r="E217" s="284"/>
      <c r="F217" s="285"/>
    </row>
    <row r="218" spans="1:6" x14ac:dyDescent="0.25">
      <c r="B218" s="286"/>
    </row>
    <row r="220" spans="1:6" x14ac:dyDescent="0.25">
      <c r="B220" s="261"/>
    </row>
    <row r="221" spans="1:6" x14ac:dyDescent="0.25">
      <c r="B221" s="261"/>
    </row>
    <row r="222" spans="1:6" x14ac:dyDescent="0.25">
      <c r="B222" s="261"/>
    </row>
    <row r="223" spans="1:6" x14ac:dyDescent="0.25">
      <c r="B223" s="263"/>
    </row>
    <row r="224" spans="1:6" x14ac:dyDescent="0.25">
      <c r="B224" s="261"/>
    </row>
    <row r="225" spans="1:6" x14ac:dyDescent="0.25">
      <c r="B225" s="287"/>
    </row>
    <row r="226" spans="1:6" x14ac:dyDescent="0.25">
      <c r="B226" s="260"/>
    </row>
    <row r="227" spans="1:6" x14ac:dyDescent="0.25">
      <c r="B227" s="260"/>
    </row>
    <row r="228" spans="1:6" x14ac:dyDescent="0.25">
      <c r="B228" s="274"/>
    </row>
    <row r="230" spans="1:6" x14ac:dyDescent="0.25">
      <c r="B230" s="260"/>
    </row>
    <row r="231" spans="1:6" x14ac:dyDescent="0.25">
      <c r="B231" s="260"/>
    </row>
    <row r="233" spans="1:6" x14ac:dyDescent="0.25">
      <c r="B233" s="288"/>
    </row>
    <row r="234" spans="1:6" x14ac:dyDescent="0.25">
      <c r="B234" s="274"/>
    </row>
    <row r="235" spans="1:6" x14ac:dyDescent="0.25">
      <c r="A235" s="271"/>
      <c r="B235" s="259"/>
      <c r="C235" s="289"/>
      <c r="D235" s="289"/>
      <c r="E235" s="290"/>
      <c r="F235" s="291"/>
    </row>
    <row r="236" spans="1:6" x14ac:dyDescent="0.25">
      <c r="A236" s="271"/>
      <c r="B236" s="259"/>
      <c r="C236" s="289"/>
      <c r="D236" s="289"/>
      <c r="E236" s="290"/>
      <c r="F236" s="291"/>
    </row>
    <row r="237" spans="1:6" x14ac:dyDescent="0.25">
      <c r="A237" s="271"/>
      <c r="B237" s="259"/>
      <c r="C237" s="289"/>
      <c r="D237" s="289"/>
      <c r="E237" s="290"/>
      <c r="F237" s="291"/>
    </row>
    <row r="238" spans="1:6" x14ac:dyDescent="0.25">
      <c r="A238" s="271"/>
      <c r="B238" s="259"/>
      <c r="C238" s="289"/>
      <c r="D238" s="289"/>
      <c r="E238" s="290"/>
      <c r="F238" s="291"/>
    </row>
    <row r="239" spans="1:6" x14ac:dyDescent="0.25">
      <c r="A239" s="281"/>
      <c r="B239" s="282"/>
      <c r="C239" s="283"/>
      <c r="D239" s="283"/>
      <c r="E239" s="284"/>
      <c r="F239" s="285"/>
    </row>
    <row r="240" spans="1:6" ht="15.75" thickBot="1" x14ac:dyDescent="0.3">
      <c r="A240" s="292"/>
      <c r="B240" s="265"/>
      <c r="C240" s="293"/>
      <c r="D240" s="293"/>
      <c r="E240" s="294"/>
      <c r="F240" s="268"/>
    </row>
    <row r="241" spans="1:6" x14ac:dyDescent="0.25">
      <c r="A241" s="251"/>
      <c r="B241" s="252"/>
      <c r="C241" s="253"/>
      <c r="D241" s="253"/>
      <c r="E241" s="254"/>
      <c r="F241" s="255"/>
    </row>
    <row r="243" spans="1:6" s="99" customFormat="1" ht="12.75" x14ac:dyDescent="0.2">
      <c r="A243" s="256"/>
      <c r="B243" s="261"/>
      <c r="E243" s="258"/>
      <c r="F243" s="118"/>
    </row>
    <row r="244" spans="1:6" s="99" customFormat="1" ht="12.75" x14ac:dyDescent="0.2">
      <c r="A244" s="256"/>
      <c r="B244" s="261"/>
      <c r="E244" s="258"/>
      <c r="F244" s="118"/>
    </row>
    <row r="245" spans="1:6" s="99" customFormat="1" ht="12.75" x14ac:dyDescent="0.2">
      <c r="A245" s="256"/>
      <c r="B245" s="269"/>
      <c r="E245" s="258"/>
      <c r="F245" s="118"/>
    </row>
    <row r="246" spans="1:6" s="99" customFormat="1" ht="12.75" x14ac:dyDescent="0.2">
      <c r="A246" s="256"/>
      <c r="B246" s="269"/>
      <c r="E246" s="258"/>
      <c r="F246" s="118"/>
    </row>
    <row r="247" spans="1:6" s="99" customFormat="1" ht="12.75" x14ac:dyDescent="0.2">
      <c r="A247" s="256"/>
      <c r="B247" s="261"/>
      <c r="E247" s="258"/>
      <c r="F247" s="118"/>
    </row>
    <row r="248" spans="1:6" s="99" customFormat="1" ht="12.75" x14ac:dyDescent="0.2">
      <c r="A248" s="256"/>
      <c r="B248" s="287"/>
      <c r="E248" s="258"/>
      <c r="F248" s="118"/>
    </row>
    <row r="249" spans="1:6" s="99" customFormat="1" ht="12.75" x14ac:dyDescent="0.2">
      <c r="A249" s="256"/>
      <c r="B249" s="295"/>
      <c r="E249" s="258"/>
      <c r="F249" s="118"/>
    </row>
    <row r="250" spans="1:6" s="99" customFormat="1" ht="12.75" x14ac:dyDescent="0.2">
      <c r="A250" s="256"/>
      <c r="B250" s="296"/>
      <c r="E250" s="258"/>
      <c r="F250" s="118"/>
    </row>
    <row r="251" spans="1:6" s="99" customFormat="1" ht="12.75" x14ac:dyDescent="0.2">
      <c r="A251" s="256"/>
      <c r="B251" s="260"/>
      <c r="E251" s="258"/>
      <c r="F251" s="118"/>
    </row>
    <row r="252" spans="1:6" s="99" customFormat="1" ht="12.75" x14ac:dyDescent="0.2">
      <c r="A252" s="256"/>
      <c r="B252" s="260"/>
      <c r="E252" s="258"/>
      <c r="F252" s="118"/>
    </row>
    <row r="253" spans="1:6" s="99" customFormat="1" ht="12.75" x14ac:dyDescent="0.2">
      <c r="A253" s="256"/>
      <c r="B253" s="261"/>
      <c r="E253" s="258"/>
      <c r="F253" s="118"/>
    </row>
    <row r="254" spans="1:6" s="99" customFormat="1" ht="12.75" x14ac:dyDescent="0.2">
      <c r="A254" s="256"/>
      <c r="B254" s="287"/>
      <c r="E254" s="258"/>
      <c r="F254" s="118"/>
    </row>
    <row r="255" spans="1:6" s="99" customFormat="1" ht="12.75" x14ac:dyDescent="0.2">
      <c r="A255" s="256"/>
      <c r="B255" s="260"/>
      <c r="E255" s="258"/>
      <c r="F255" s="118"/>
    </row>
    <row r="256" spans="1:6" s="99" customFormat="1" ht="12.75" x14ac:dyDescent="0.2">
      <c r="A256" s="256"/>
      <c r="B256" s="260"/>
      <c r="E256" s="258"/>
      <c r="F256" s="118"/>
    </row>
    <row r="257" spans="1:6" s="99" customFormat="1" ht="12.75" x14ac:dyDescent="0.2">
      <c r="A257" s="256"/>
      <c r="B257" s="260"/>
      <c r="E257" s="258"/>
      <c r="F257" s="118"/>
    </row>
    <row r="258" spans="1:6" s="99" customFormat="1" ht="12.75" x14ac:dyDescent="0.2">
      <c r="A258" s="256"/>
      <c r="B258" s="260"/>
      <c r="E258" s="258"/>
      <c r="F258" s="118"/>
    </row>
    <row r="259" spans="1:6" x14ac:dyDescent="0.25">
      <c r="B259" s="297"/>
      <c r="F259" s="277"/>
    </row>
    <row r="260" spans="1:6" x14ac:dyDescent="0.25">
      <c r="B260" s="298"/>
      <c r="F260" s="277"/>
    </row>
    <row r="261" spans="1:6" x14ac:dyDescent="0.25">
      <c r="B261" s="299"/>
    </row>
    <row r="263" spans="1:6" ht="15.75" thickBot="1" x14ac:dyDescent="0.3">
      <c r="A263" s="264"/>
      <c r="B263" s="265"/>
      <c r="C263" s="266"/>
      <c r="D263" s="266"/>
      <c r="E263" s="267"/>
      <c r="F263" s="268"/>
    </row>
    <row r="264" spans="1:6" x14ac:dyDescent="0.25">
      <c r="B264" s="260"/>
    </row>
    <row r="265" spans="1:6" x14ac:dyDescent="0.25">
      <c r="B265" s="276"/>
      <c r="F265" s="277"/>
    </row>
    <row r="266" spans="1:6" x14ac:dyDescent="0.25">
      <c r="F266" s="277"/>
    </row>
    <row r="267" spans="1:6" x14ac:dyDescent="0.25">
      <c r="B267" s="276"/>
      <c r="F267" s="277"/>
    </row>
    <row r="272" spans="1:6" x14ac:dyDescent="0.25">
      <c r="B272" s="261"/>
    </row>
    <row r="273" spans="1:6" x14ac:dyDescent="0.25">
      <c r="B273" s="297"/>
      <c r="F273" s="277"/>
    </row>
    <row r="274" spans="1:6" x14ac:dyDescent="0.25">
      <c r="B274" s="298"/>
      <c r="F274" s="277"/>
    </row>
    <row r="275" spans="1:6" x14ac:dyDescent="0.25">
      <c r="B275" s="298"/>
      <c r="F275" s="277"/>
    </row>
    <row r="276" spans="1:6" x14ac:dyDescent="0.25">
      <c r="B276" s="298"/>
      <c r="F276" s="277"/>
    </row>
    <row r="277" spans="1:6" x14ac:dyDescent="0.25">
      <c r="B277" s="298"/>
      <c r="F277" s="277"/>
    </row>
    <row r="278" spans="1:6" x14ac:dyDescent="0.25">
      <c r="B278" s="298"/>
      <c r="F278" s="277"/>
    </row>
    <row r="279" spans="1:6" x14ac:dyDescent="0.25">
      <c r="B279" s="298"/>
      <c r="F279" s="277"/>
    </row>
    <row r="280" spans="1:6" x14ac:dyDescent="0.25">
      <c r="B280" s="298"/>
      <c r="F280" s="277"/>
    </row>
    <row r="281" spans="1:6" x14ac:dyDescent="0.25">
      <c r="B281" s="299"/>
    </row>
    <row r="282" spans="1:6" ht="15.75" thickBot="1" x14ac:dyDescent="0.3">
      <c r="A282" s="264"/>
      <c r="B282" s="300"/>
      <c r="C282" s="266"/>
      <c r="D282" s="266"/>
      <c r="E282" s="267"/>
      <c r="F282" s="268"/>
    </row>
    <row r="283" spans="1:6" x14ac:dyDescent="0.25">
      <c r="A283" s="251"/>
      <c r="B283" s="252"/>
      <c r="C283" s="253"/>
      <c r="D283" s="253"/>
      <c r="E283" s="254"/>
      <c r="F283" s="255"/>
    </row>
    <row r="285" spans="1:6" x14ac:dyDescent="0.25">
      <c r="B285" s="257"/>
    </row>
    <row r="287" spans="1:6" x14ac:dyDescent="0.25">
      <c r="B287" s="257"/>
    </row>
    <row r="288" spans="1:6" x14ac:dyDescent="0.25">
      <c r="A288" s="271"/>
      <c r="B288" s="259"/>
      <c r="C288" s="289"/>
      <c r="D288" s="289"/>
      <c r="E288" s="290"/>
      <c r="F288" s="291"/>
    </row>
    <row r="289" spans="1:6" x14ac:dyDescent="0.25">
      <c r="A289" s="271"/>
      <c r="B289" s="269"/>
    </row>
    <row r="290" spans="1:6" x14ac:dyDescent="0.25">
      <c r="A290" s="271"/>
      <c r="B290" s="259"/>
    </row>
    <row r="292" spans="1:6" x14ac:dyDescent="0.25">
      <c r="A292" s="271"/>
      <c r="B292" s="259"/>
      <c r="C292" s="289"/>
      <c r="D292" s="289"/>
      <c r="E292" s="290"/>
      <c r="F292" s="291"/>
    </row>
    <row r="293" spans="1:6" x14ac:dyDescent="0.25">
      <c r="A293" s="271"/>
      <c r="B293" s="257"/>
      <c r="C293" s="289"/>
      <c r="D293" s="289"/>
      <c r="E293" s="290"/>
      <c r="F293" s="291"/>
    </row>
    <row r="294" spans="1:6" x14ac:dyDescent="0.25">
      <c r="A294" s="271"/>
      <c r="B294" s="259"/>
      <c r="C294" s="289"/>
      <c r="D294" s="289"/>
      <c r="E294" s="290"/>
      <c r="F294" s="291"/>
    </row>
    <row r="295" spans="1:6" x14ac:dyDescent="0.25">
      <c r="A295" s="271"/>
      <c r="B295" s="269"/>
      <c r="C295" s="289"/>
      <c r="D295" s="289"/>
      <c r="E295" s="290"/>
      <c r="F295" s="291"/>
    </row>
    <row r="297" spans="1:6" x14ac:dyDescent="0.25">
      <c r="C297" s="301"/>
    </row>
    <row r="301" spans="1:6" x14ac:dyDescent="0.25">
      <c r="B301" s="257"/>
    </row>
    <row r="303" spans="1:6" x14ac:dyDescent="0.25">
      <c r="B303" s="269"/>
    </row>
    <row r="304" spans="1:6" x14ac:dyDescent="0.25">
      <c r="D304" s="289"/>
      <c r="E304" s="290"/>
    </row>
    <row r="310" spans="1:6" x14ac:dyDescent="0.25">
      <c r="A310" s="271"/>
      <c r="B310" s="259"/>
      <c r="C310" s="289"/>
      <c r="D310" s="289"/>
      <c r="E310" s="290"/>
      <c r="F310" s="291"/>
    </row>
    <row r="311" spans="1:6" x14ac:dyDescent="0.25">
      <c r="A311" s="271"/>
      <c r="B311" s="259"/>
      <c r="C311" s="289"/>
      <c r="D311" s="289"/>
      <c r="E311" s="290"/>
      <c r="F311" s="291"/>
    </row>
    <row r="312" spans="1:6" x14ac:dyDescent="0.25">
      <c r="A312" s="271"/>
      <c r="B312" s="259"/>
      <c r="C312" s="289"/>
      <c r="D312" s="289"/>
      <c r="E312" s="290"/>
      <c r="F312" s="291"/>
    </row>
    <row r="313" spans="1:6" x14ac:dyDescent="0.25">
      <c r="A313" s="271"/>
      <c r="B313" s="259"/>
      <c r="C313" s="289"/>
      <c r="D313" s="289"/>
      <c r="E313" s="290"/>
      <c r="F313" s="291"/>
    </row>
    <row r="321" spans="1:6" ht="15.75" thickBot="1" x14ac:dyDescent="0.3">
      <c r="A321" s="264"/>
      <c r="B321" s="300"/>
      <c r="C321" s="266"/>
      <c r="D321" s="266"/>
      <c r="E321" s="267"/>
      <c r="F321" s="268"/>
    </row>
    <row r="322" spans="1:6" x14ac:dyDescent="0.25">
      <c r="A322" s="251"/>
      <c r="B322" s="252"/>
      <c r="C322" s="253"/>
      <c r="D322" s="253"/>
      <c r="E322" s="254"/>
      <c r="F322" s="255"/>
    </row>
    <row r="324" spans="1:6" x14ac:dyDescent="0.25">
      <c r="B324" s="257"/>
    </row>
    <row r="326" spans="1:6" x14ac:dyDescent="0.25">
      <c r="B326" s="257"/>
    </row>
    <row r="328" spans="1:6" x14ac:dyDescent="0.25">
      <c r="B328" s="257"/>
    </row>
    <row r="330" spans="1:6" x14ac:dyDescent="0.25">
      <c r="B330" s="262"/>
    </row>
    <row r="332" spans="1:6" x14ac:dyDescent="0.25">
      <c r="B332" s="269"/>
    </row>
    <row r="334" spans="1:6" s="99" customFormat="1" ht="12.75" x14ac:dyDescent="0.25">
      <c r="A334" s="256"/>
      <c r="B334" s="302"/>
      <c r="E334" s="258"/>
      <c r="F334" s="118"/>
    </row>
    <row r="335" spans="1:6" s="99" customFormat="1" ht="12.75" x14ac:dyDescent="0.25">
      <c r="A335" s="256"/>
      <c r="B335" s="302"/>
      <c r="E335" s="258"/>
      <c r="F335" s="118"/>
    </row>
    <row r="336" spans="1:6" s="99" customFormat="1" ht="12.75" x14ac:dyDescent="0.2">
      <c r="A336" s="256"/>
      <c r="B336" s="153"/>
      <c r="E336" s="258"/>
      <c r="F336" s="118"/>
    </row>
    <row r="337" spans="1:6" s="99" customFormat="1" ht="12.75" x14ac:dyDescent="0.2">
      <c r="A337" s="256"/>
      <c r="B337" s="153"/>
      <c r="E337" s="258"/>
      <c r="F337" s="118"/>
    </row>
    <row r="338" spans="1:6" s="99" customFormat="1" ht="12.75" x14ac:dyDescent="0.2">
      <c r="A338" s="256"/>
      <c r="B338" s="153"/>
      <c r="E338" s="258"/>
      <c r="F338" s="118"/>
    </row>
    <row r="339" spans="1:6" s="99" customFormat="1" ht="12.75" x14ac:dyDescent="0.25">
      <c r="A339" s="256"/>
      <c r="B339" s="303"/>
      <c r="E339" s="258"/>
      <c r="F339" s="118"/>
    </row>
    <row r="340" spans="1:6" s="99" customFormat="1" ht="12.75" x14ac:dyDescent="0.2">
      <c r="A340" s="256"/>
      <c r="B340" s="153"/>
      <c r="E340" s="258"/>
      <c r="F340" s="118"/>
    </row>
    <row r="341" spans="1:6" s="99" customFormat="1" ht="12.75" x14ac:dyDescent="0.25">
      <c r="A341" s="256"/>
      <c r="B341" s="303"/>
      <c r="E341" s="258"/>
      <c r="F341" s="118"/>
    </row>
    <row r="342" spans="1:6" s="99" customFormat="1" ht="12.75" x14ac:dyDescent="0.2">
      <c r="A342" s="256"/>
      <c r="B342" s="153"/>
      <c r="E342" s="258"/>
      <c r="F342" s="118"/>
    </row>
    <row r="343" spans="1:6" s="99" customFormat="1" ht="12.75" x14ac:dyDescent="0.2">
      <c r="A343" s="256"/>
      <c r="B343" s="260"/>
      <c r="E343" s="258"/>
      <c r="F343" s="118"/>
    </row>
    <row r="344" spans="1:6" s="99" customFormat="1" ht="12.75" x14ac:dyDescent="0.2">
      <c r="A344" s="256"/>
      <c r="B344" s="153"/>
      <c r="E344" s="258"/>
      <c r="F344" s="118"/>
    </row>
    <row r="345" spans="1:6" s="99" customFormat="1" ht="12.75" x14ac:dyDescent="0.2">
      <c r="A345" s="256"/>
      <c r="B345" s="260"/>
      <c r="E345" s="258"/>
      <c r="F345" s="118"/>
    </row>
    <row r="346" spans="1:6" s="99" customFormat="1" ht="12.75" x14ac:dyDescent="0.2">
      <c r="A346" s="256"/>
      <c r="B346" s="153"/>
      <c r="E346" s="258"/>
      <c r="F346" s="118"/>
    </row>
    <row r="348" spans="1:6" s="99" customFormat="1" ht="12.75" x14ac:dyDescent="0.2">
      <c r="A348" s="256"/>
      <c r="B348" s="261"/>
      <c r="E348" s="258"/>
      <c r="F348" s="118"/>
    </row>
    <row r="349" spans="1:6" x14ac:dyDescent="0.25">
      <c r="B349" s="261"/>
    </row>
    <row r="350" spans="1:6" x14ac:dyDescent="0.25">
      <c r="B350" s="260"/>
    </row>
    <row r="354" spans="1:6" ht="15.75" thickBot="1" x14ac:dyDescent="0.3">
      <c r="A354" s="264"/>
      <c r="B354" s="265"/>
      <c r="C354" s="266"/>
      <c r="D354" s="266"/>
      <c r="E354" s="267"/>
      <c r="F354" s="268"/>
    </row>
    <row r="355" spans="1:6" x14ac:dyDescent="0.25">
      <c r="A355" s="251"/>
      <c r="B355" s="252"/>
      <c r="C355" s="253"/>
      <c r="D355" s="253"/>
      <c r="E355" s="254"/>
      <c r="F355" s="255"/>
    </row>
    <row r="357" spans="1:6" x14ac:dyDescent="0.25">
      <c r="A357" s="304"/>
      <c r="B357" s="305"/>
      <c r="C357" s="306"/>
      <c r="D357" s="306"/>
      <c r="E357" s="307"/>
      <c r="F357" s="308"/>
    </row>
    <row r="358" spans="1:6" x14ac:dyDescent="0.25">
      <c r="A358" s="304"/>
      <c r="B358" s="309"/>
      <c r="C358" s="306"/>
      <c r="D358" s="306"/>
      <c r="E358" s="307"/>
      <c r="F358" s="308"/>
    </row>
    <row r="359" spans="1:6" x14ac:dyDescent="0.25">
      <c r="A359" s="310"/>
      <c r="B359" s="303"/>
      <c r="C359" s="311"/>
      <c r="D359" s="311"/>
      <c r="E359" s="312"/>
      <c r="F359" s="313"/>
    </row>
    <row r="360" spans="1:6" x14ac:dyDescent="0.25">
      <c r="A360" s="304"/>
      <c r="B360" s="309"/>
      <c r="C360" s="306"/>
      <c r="D360" s="306"/>
      <c r="E360" s="307"/>
      <c r="F360" s="308"/>
    </row>
    <row r="361" spans="1:6" x14ac:dyDescent="0.25">
      <c r="B361" s="269"/>
    </row>
    <row r="362" spans="1:6" x14ac:dyDescent="0.25">
      <c r="B362" s="314"/>
    </row>
    <row r="363" spans="1:6" x14ac:dyDescent="0.25">
      <c r="B363" s="123"/>
    </row>
    <row r="365" spans="1:6" x14ac:dyDescent="0.25">
      <c r="B365" s="257"/>
    </row>
    <row r="367" spans="1:6" x14ac:dyDescent="0.25">
      <c r="A367" s="310"/>
      <c r="B367" s="153"/>
      <c r="C367" s="311"/>
      <c r="D367" s="311"/>
      <c r="E367" s="312"/>
      <c r="F367" s="313"/>
    </row>
    <row r="371" spans="1:6" x14ac:dyDescent="0.25">
      <c r="A371" s="310"/>
      <c r="B371" s="261"/>
      <c r="C371" s="311"/>
      <c r="D371" s="311"/>
      <c r="E371" s="311"/>
      <c r="F371" s="313"/>
    </row>
    <row r="372" spans="1:6" x14ac:dyDescent="0.25">
      <c r="A372" s="310"/>
      <c r="B372" s="261"/>
      <c r="C372" s="311"/>
      <c r="D372" s="311"/>
      <c r="E372" s="311"/>
      <c r="F372" s="313"/>
    </row>
    <row r="373" spans="1:6" x14ac:dyDescent="0.25">
      <c r="A373" s="310"/>
      <c r="B373" s="261"/>
      <c r="C373" s="311"/>
      <c r="D373" s="311"/>
      <c r="E373" s="311"/>
      <c r="F373" s="313"/>
    </row>
    <row r="374" spans="1:6" x14ac:dyDescent="0.25">
      <c r="A374" s="310"/>
      <c r="B374" s="260"/>
      <c r="C374" s="311"/>
      <c r="D374" s="311"/>
      <c r="E374" s="311"/>
      <c r="F374" s="313"/>
    </row>
    <row r="375" spans="1:6" x14ac:dyDescent="0.25">
      <c r="A375" s="310"/>
      <c r="B375" s="260"/>
      <c r="C375" s="311"/>
      <c r="D375" s="311"/>
      <c r="E375" s="311"/>
      <c r="F375" s="313"/>
    </row>
    <row r="376" spans="1:6" x14ac:dyDescent="0.25">
      <c r="A376" s="310"/>
      <c r="B376" s="260"/>
      <c r="C376" s="311"/>
      <c r="D376" s="311"/>
      <c r="E376" s="311"/>
      <c r="F376" s="313"/>
    </row>
    <row r="377" spans="1:6" x14ac:dyDescent="0.25">
      <c r="A377" s="310"/>
      <c r="B377" s="260"/>
      <c r="C377" s="311"/>
      <c r="D377" s="311"/>
      <c r="E377" s="311"/>
      <c r="F377" s="313"/>
    </row>
    <row r="378" spans="1:6" x14ac:dyDescent="0.25">
      <c r="B378" s="314"/>
    </row>
    <row r="379" spans="1:6" ht="15.75" thickBot="1" x14ac:dyDescent="0.3">
      <c r="A379" s="264"/>
      <c r="B379" s="265"/>
      <c r="C379" s="266"/>
      <c r="D379" s="266"/>
      <c r="E379" s="267"/>
      <c r="F379" s="268"/>
    </row>
    <row r="381" spans="1:6" x14ac:dyDescent="0.25">
      <c r="B381" s="276"/>
      <c r="F381" s="277"/>
    </row>
    <row r="382" spans="1:6" x14ac:dyDescent="0.25">
      <c r="F382" s="277"/>
    </row>
    <row r="383" spans="1:6" x14ac:dyDescent="0.25">
      <c r="B383" s="276"/>
      <c r="F383" s="277"/>
    </row>
    <row r="390" spans="1:6" ht="15.75" thickBot="1" x14ac:dyDescent="0.3">
      <c r="A390" s="264"/>
      <c r="B390" s="300"/>
      <c r="C390" s="266"/>
      <c r="D390" s="266"/>
      <c r="E390" s="267"/>
      <c r="F390" s="268"/>
    </row>
    <row r="391" spans="1:6" x14ac:dyDescent="0.25">
      <c r="A391" s="251"/>
      <c r="B391" s="252"/>
      <c r="C391" s="253"/>
      <c r="D391" s="253"/>
      <c r="E391" s="254"/>
      <c r="F391" s="255"/>
    </row>
    <row r="392" spans="1:6" x14ac:dyDescent="0.25">
      <c r="B392" s="275"/>
    </row>
    <row r="393" spans="1:6" x14ac:dyDescent="0.25">
      <c r="B393" s="257"/>
    </row>
    <row r="395" spans="1:6" x14ac:dyDescent="0.25">
      <c r="B395" s="257"/>
    </row>
    <row r="397" spans="1:6" s="99" customFormat="1" ht="12.75" x14ac:dyDescent="0.2">
      <c r="A397" s="256"/>
      <c r="B397" s="270"/>
      <c r="E397" s="258"/>
      <c r="F397" s="118"/>
    </row>
    <row r="399" spans="1:6" s="99" customFormat="1" ht="12.75" x14ac:dyDescent="0.2">
      <c r="A399" s="256"/>
      <c r="B399" s="260"/>
      <c r="E399" s="258"/>
      <c r="F399" s="118"/>
    </row>
    <row r="403" spans="1:6" s="99" customFormat="1" ht="12.75" x14ac:dyDescent="0.2">
      <c r="A403" s="256"/>
      <c r="B403" s="261"/>
      <c r="E403" s="258"/>
      <c r="F403" s="118"/>
    </row>
    <row r="404" spans="1:6" s="99" customFormat="1" ht="12.75" x14ac:dyDescent="0.2">
      <c r="A404" s="256"/>
      <c r="B404" s="287"/>
      <c r="E404" s="258"/>
      <c r="F404" s="118"/>
    </row>
    <row r="405" spans="1:6" s="99" customFormat="1" ht="12.75" x14ac:dyDescent="0.2">
      <c r="A405" s="256"/>
      <c r="B405" s="260"/>
      <c r="E405" s="258"/>
      <c r="F405" s="118"/>
    </row>
    <row r="406" spans="1:6" s="99" customFormat="1" ht="12.75" x14ac:dyDescent="0.2">
      <c r="A406" s="256"/>
      <c r="B406" s="260"/>
      <c r="E406" s="258"/>
      <c r="F406" s="118"/>
    </row>
    <row r="407" spans="1:6" s="99" customFormat="1" ht="12.75" x14ac:dyDescent="0.2">
      <c r="A407" s="256"/>
      <c r="B407" s="261"/>
      <c r="E407" s="258"/>
      <c r="F407" s="118"/>
    </row>
    <row r="408" spans="1:6" s="99" customFormat="1" ht="12.75" x14ac:dyDescent="0.2">
      <c r="A408" s="256"/>
      <c r="B408" s="315"/>
      <c r="E408" s="258"/>
      <c r="F408" s="118"/>
    </row>
    <row r="409" spans="1:6" s="99" customFormat="1" ht="12.75" x14ac:dyDescent="0.2">
      <c r="A409" s="256"/>
      <c r="B409" s="316"/>
      <c r="E409" s="258"/>
      <c r="F409" s="118"/>
    </row>
    <row r="410" spans="1:6" s="99" customFormat="1" ht="12.75" x14ac:dyDescent="0.2">
      <c r="A410" s="256"/>
      <c r="B410" s="317"/>
      <c r="E410" s="258"/>
      <c r="F410" s="118"/>
    </row>
    <row r="411" spans="1:6" s="99" customFormat="1" ht="12.75" x14ac:dyDescent="0.2">
      <c r="A411" s="256"/>
      <c r="B411" s="318"/>
      <c r="E411" s="258"/>
      <c r="F411" s="118"/>
    </row>
    <row r="415" spans="1:6" x14ac:dyDescent="0.25">
      <c r="B415" s="260"/>
    </row>
    <row r="416" spans="1:6" x14ac:dyDescent="0.25">
      <c r="B416" s="319"/>
    </row>
    <row r="417" spans="1:6" ht="15.75" thickBot="1" x14ac:dyDescent="0.3">
      <c r="A417" s="264"/>
      <c r="B417" s="265"/>
      <c r="C417" s="266"/>
      <c r="D417" s="266"/>
      <c r="E417" s="267"/>
      <c r="F417" s="268"/>
    </row>
    <row r="418" spans="1:6" x14ac:dyDescent="0.25">
      <c r="A418" s="251"/>
      <c r="B418" s="252"/>
      <c r="C418" s="253"/>
      <c r="D418" s="253"/>
      <c r="E418" s="254"/>
      <c r="F418" s="255"/>
    </row>
    <row r="419" spans="1:6" s="118" customFormat="1" ht="12.75" x14ac:dyDescent="0.25">
      <c r="A419" s="256"/>
      <c r="B419" s="275"/>
      <c r="C419" s="99"/>
      <c r="D419" s="99"/>
      <c r="E419" s="258"/>
    </row>
    <row r="420" spans="1:6" s="118" customFormat="1" ht="12.75" x14ac:dyDescent="0.2">
      <c r="A420" s="256"/>
      <c r="B420" s="320"/>
      <c r="C420" s="99"/>
      <c r="D420" s="99"/>
      <c r="E420" s="258"/>
    </row>
    <row r="421" spans="1:6" s="118" customFormat="1" ht="12.75" x14ac:dyDescent="0.25">
      <c r="A421" s="256"/>
      <c r="B421" s="275"/>
      <c r="C421" s="99"/>
      <c r="D421" s="99"/>
      <c r="E421" s="258"/>
    </row>
    <row r="422" spans="1:6" s="118" customFormat="1" ht="12.75" x14ac:dyDescent="0.2">
      <c r="A422" s="256"/>
      <c r="B422" s="269"/>
      <c r="C422" s="99"/>
      <c r="D422" s="99"/>
      <c r="E422" s="258"/>
    </row>
    <row r="423" spans="1:6" s="118" customFormat="1" ht="12.75" x14ac:dyDescent="0.25">
      <c r="A423" s="256"/>
      <c r="B423" s="275"/>
      <c r="C423" s="99"/>
      <c r="D423" s="99"/>
      <c r="E423" s="258"/>
    </row>
    <row r="424" spans="1:6" s="118" customFormat="1" ht="12.75" x14ac:dyDescent="0.2">
      <c r="A424" s="256"/>
      <c r="B424" s="262"/>
      <c r="C424" s="99"/>
      <c r="D424" s="99"/>
      <c r="E424" s="258"/>
    </row>
    <row r="425" spans="1:6" s="118" customFormat="1" ht="12.75" x14ac:dyDescent="0.25">
      <c r="A425" s="256"/>
      <c r="B425" s="299"/>
      <c r="C425" s="99"/>
      <c r="D425" s="99"/>
      <c r="E425" s="258"/>
    </row>
    <row r="426" spans="1:6" s="118" customFormat="1" ht="12.75" x14ac:dyDescent="0.2">
      <c r="A426" s="256"/>
      <c r="B426" s="269"/>
      <c r="C426" s="99"/>
      <c r="D426" s="99"/>
      <c r="E426" s="258"/>
    </row>
    <row r="427" spans="1:6" s="118" customFormat="1" ht="12.75" x14ac:dyDescent="0.25">
      <c r="A427" s="256"/>
      <c r="B427" s="299"/>
      <c r="C427" s="99"/>
      <c r="D427" s="99"/>
      <c r="E427" s="258"/>
    </row>
    <row r="428" spans="1:6" s="118" customFormat="1" ht="12.75" x14ac:dyDescent="0.2">
      <c r="A428" s="256"/>
      <c r="B428" s="123"/>
      <c r="C428" s="311"/>
      <c r="D428" s="311"/>
      <c r="E428" s="312"/>
    </row>
    <row r="429" spans="1:6" s="118" customFormat="1" ht="12.75" x14ac:dyDescent="0.25">
      <c r="A429" s="256"/>
      <c r="B429" s="299"/>
      <c r="C429" s="99"/>
      <c r="D429" s="99"/>
      <c r="E429" s="258"/>
    </row>
    <row r="430" spans="1:6" s="118" customFormat="1" ht="12.75" x14ac:dyDescent="0.2">
      <c r="A430" s="256"/>
      <c r="B430" s="123"/>
      <c r="C430" s="311"/>
      <c r="D430" s="311"/>
      <c r="E430" s="312"/>
    </row>
    <row r="431" spans="1:6" s="118" customFormat="1" ht="12.75" x14ac:dyDescent="0.25">
      <c r="A431" s="256"/>
      <c r="B431" s="299"/>
      <c r="C431" s="99"/>
      <c r="D431" s="99"/>
      <c r="E431" s="258"/>
    </row>
    <row r="432" spans="1:6" s="118" customFormat="1" ht="12.75" x14ac:dyDescent="0.2">
      <c r="A432" s="310"/>
      <c r="B432" s="123"/>
      <c r="C432" s="311"/>
      <c r="D432" s="311"/>
      <c r="E432" s="312"/>
    </row>
    <row r="433" spans="1:6" s="118" customFormat="1" ht="12.75" x14ac:dyDescent="0.2">
      <c r="A433" s="310"/>
      <c r="B433" s="261"/>
      <c r="C433" s="311"/>
      <c r="D433" s="311"/>
      <c r="E433" s="312"/>
    </row>
    <row r="434" spans="1:6" s="118" customFormat="1" ht="12.75" x14ac:dyDescent="0.2">
      <c r="A434" s="256"/>
      <c r="B434" s="269"/>
      <c r="C434" s="99"/>
      <c r="D434" s="99"/>
      <c r="E434" s="258"/>
    </row>
    <row r="435" spans="1:6" x14ac:dyDescent="0.25">
      <c r="B435" s="321"/>
    </row>
    <row r="436" spans="1:6" x14ac:dyDescent="0.25">
      <c r="B436" s="123"/>
    </row>
    <row r="438" spans="1:6" x14ac:dyDescent="0.25">
      <c r="B438" s="269"/>
    </row>
    <row r="440" spans="1:6" x14ac:dyDescent="0.25">
      <c r="B440" s="123"/>
    </row>
    <row r="442" spans="1:6" x14ac:dyDescent="0.25">
      <c r="B442" s="123"/>
    </row>
    <row r="444" spans="1:6" x14ac:dyDescent="0.25">
      <c r="A444" s="310"/>
      <c r="B444" s="261"/>
      <c r="C444" s="311"/>
      <c r="D444" s="311"/>
      <c r="E444" s="322"/>
      <c r="F444" s="313"/>
    </row>
    <row r="445" spans="1:6" x14ac:dyDescent="0.25">
      <c r="A445" s="310"/>
      <c r="B445" s="287"/>
      <c r="C445" s="311"/>
      <c r="D445" s="311"/>
      <c r="E445" s="322"/>
      <c r="F445" s="313"/>
    </row>
    <row r="446" spans="1:6" x14ac:dyDescent="0.25">
      <c r="A446" s="310"/>
      <c r="B446" s="262"/>
      <c r="C446" s="311"/>
      <c r="D446" s="311"/>
      <c r="E446" s="322"/>
      <c r="F446" s="313"/>
    </row>
    <row r="453" spans="1:6" x14ac:dyDescent="0.25">
      <c r="B453" s="123"/>
    </row>
    <row r="454" spans="1:6" x14ac:dyDescent="0.25">
      <c r="B454" s="123"/>
    </row>
    <row r="455" spans="1:6" x14ac:dyDescent="0.25">
      <c r="A455" s="310"/>
      <c r="B455" s="260"/>
      <c r="C455" s="311"/>
      <c r="D455" s="311"/>
      <c r="E455" s="312"/>
    </row>
    <row r="456" spans="1:6" ht="15.75" thickBot="1" x14ac:dyDescent="0.3">
      <c r="A456" s="264"/>
      <c r="B456" s="265"/>
      <c r="C456" s="266"/>
      <c r="D456" s="266"/>
      <c r="E456" s="267"/>
      <c r="F456" s="268"/>
    </row>
    <row r="457" spans="1:6" x14ac:dyDescent="0.25">
      <c r="A457" s="251"/>
      <c r="B457" s="252"/>
      <c r="C457" s="253"/>
      <c r="D457" s="253"/>
      <c r="E457" s="254"/>
      <c r="F457" s="255"/>
    </row>
    <row r="459" spans="1:6" x14ac:dyDescent="0.25">
      <c r="B459" s="269"/>
    </row>
    <row r="461" spans="1:6" x14ac:dyDescent="0.25">
      <c r="B461" s="123"/>
    </row>
    <row r="463" spans="1:6" x14ac:dyDescent="0.25">
      <c r="B463" s="123"/>
    </row>
    <row r="465" spans="1:6" x14ac:dyDescent="0.25">
      <c r="B465" s="260"/>
    </row>
    <row r="467" spans="1:6" x14ac:dyDescent="0.25">
      <c r="B467" s="262"/>
    </row>
    <row r="469" spans="1:6" ht="15.75" thickBot="1" x14ac:dyDescent="0.3">
      <c r="A469" s="264"/>
      <c r="B469" s="265"/>
      <c r="C469" s="266"/>
      <c r="D469" s="266"/>
      <c r="E469" s="267"/>
      <c r="F469" s="268"/>
    </row>
    <row r="470" spans="1:6" x14ac:dyDescent="0.25">
      <c r="B470" s="317"/>
    </row>
    <row r="471" spans="1:6" x14ac:dyDescent="0.25">
      <c r="B471" s="276"/>
      <c r="F471" s="277"/>
    </row>
    <row r="472" spans="1:6" x14ac:dyDescent="0.25">
      <c r="F472" s="277"/>
    </row>
    <row r="473" spans="1:6" x14ac:dyDescent="0.25">
      <c r="B473" s="276"/>
      <c r="F473" s="277"/>
    </row>
    <row r="474" spans="1:6" x14ac:dyDescent="0.25">
      <c r="F474" s="277"/>
    </row>
    <row r="475" spans="1:6" x14ac:dyDescent="0.25">
      <c r="B475" s="276"/>
      <c r="F475" s="277"/>
    </row>
    <row r="480" spans="1:6" s="99" customFormat="1" ht="12.75" x14ac:dyDescent="0.2">
      <c r="A480" s="256"/>
      <c r="B480" s="260"/>
      <c r="E480" s="258"/>
      <c r="F480" s="118"/>
    </row>
    <row r="481" spans="1:6" s="99" customFormat="1" ht="12.75" x14ac:dyDescent="0.2">
      <c r="A481" s="256"/>
      <c r="B481" s="262"/>
      <c r="E481" s="258"/>
      <c r="F481" s="118"/>
    </row>
    <row r="482" spans="1:6" s="99" customFormat="1" ht="12.75" x14ac:dyDescent="0.2">
      <c r="A482" s="256"/>
      <c r="B482" s="262"/>
      <c r="E482" s="258"/>
      <c r="F482" s="118"/>
    </row>
    <row r="483" spans="1:6" s="99" customFormat="1" ht="12.75" x14ac:dyDescent="0.2">
      <c r="A483" s="256"/>
      <c r="B483" s="262"/>
      <c r="E483" s="258"/>
      <c r="F483" s="118"/>
    </row>
    <row r="484" spans="1:6" s="99" customFormat="1" ht="12.75" x14ac:dyDescent="0.2">
      <c r="A484" s="256"/>
      <c r="B484" s="262"/>
      <c r="E484" s="258"/>
      <c r="F484" s="118"/>
    </row>
    <row r="485" spans="1:6" s="99" customFormat="1" ht="12.75" x14ac:dyDescent="0.2">
      <c r="A485" s="256"/>
      <c r="B485" s="262"/>
      <c r="E485" s="258"/>
      <c r="F485" s="118"/>
    </row>
    <row r="486" spans="1:6" s="99" customFormat="1" ht="12.75" x14ac:dyDescent="0.2">
      <c r="A486" s="256"/>
      <c r="B486" s="262"/>
      <c r="E486" s="258"/>
      <c r="F486" s="118"/>
    </row>
    <row r="487" spans="1:6" s="99" customFormat="1" ht="12.75" x14ac:dyDescent="0.2">
      <c r="A487" s="256"/>
      <c r="B487" s="262"/>
      <c r="E487" s="258"/>
      <c r="F487" s="118"/>
    </row>
    <row r="488" spans="1:6" s="99" customFormat="1" ht="12.75" x14ac:dyDescent="0.2">
      <c r="A488" s="256"/>
      <c r="B488" s="262"/>
      <c r="E488" s="258"/>
      <c r="F488" s="118"/>
    </row>
    <row r="489" spans="1:6" s="99" customFormat="1" ht="12.75" x14ac:dyDescent="0.2">
      <c r="A489" s="256"/>
      <c r="B489" s="262"/>
      <c r="E489" s="258"/>
      <c r="F489" s="118"/>
    </row>
    <row r="490" spans="1:6" s="99" customFormat="1" ht="12.75" x14ac:dyDescent="0.2">
      <c r="A490" s="256"/>
      <c r="B490" s="262"/>
      <c r="E490" s="258"/>
      <c r="F490" s="118"/>
    </row>
    <row r="491" spans="1:6" s="99" customFormat="1" ht="12.75" x14ac:dyDescent="0.2">
      <c r="A491" s="256"/>
      <c r="B491" s="262"/>
      <c r="E491" s="258"/>
      <c r="F491" s="118"/>
    </row>
    <row r="492" spans="1:6" x14ac:dyDescent="0.25">
      <c r="B492" s="262"/>
    </row>
    <row r="493" spans="1:6" x14ac:dyDescent="0.25">
      <c r="B493" s="262"/>
    </row>
    <row r="494" spans="1:6" x14ac:dyDescent="0.25">
      <c r="B494" s="262"/>
    </row>
    <row r="495" spans="1:6" x14ac:dyDescent="0.25">
      <c r="B495" s="319"/>
    </row>
    <row r="496" spans="1:6" ht="15.75" thickBot="1" x14ac:dyDescent="0.3">
      <c r="A496" s="264"/>
      <c r="B496" s="300"/>
      <c r="C496" s="266"/>
      <c r="D496" s="266"/>
      <c r="E496" s="267"/>
      <c r="F496" s="268"/>
    </row>
    <row r="497" spans="1:6" x14ac:dyDescent="0.25">
      <c r="A497" s="251"/>
      <c r="B497" s="252"/>
      <c r="C497" s="253"/>
      <c r="D497" s="253"/>
      <c r="E497" s="254"/>
      <c r="F497" s="255"/>
    </row>
    <row r="499" spans="1:6" x14ac:dyDescent="0.25">
      <c r="B499" s="305"/>
    </row>
    <row r="500" spans="1:6" x14ac:dyDescent="0.25">
      <c r="B500" s="279"/>
    </row>
    <row r="501" spans="1:6" x14ac:dyDescent="0.25">
      <c r="B501" s="270"/>
    </row>
    <row r="502" spans="1:6" x14ac:dyDescent="0.25">
      <c r="B502" s="323"/>
    </row>
    <row r="503" spans="1:6" x14ac:dyDescent="0.25">
      <c r="B503" s="261"/>
    </row>
    <row r="504" spans="1:6" x14ac:dyDescent="0.25">
      <c r="B504" s="260"/>
    </row>
    <row r="505" spans="1:6" x14ac:dyDescent="0.25">
      <c r="B505" s="269"/>
      <c r="F505" s="291"/>
    </row>
    <row r="506" spans="1:6" x14ac:dyDescent="0.25">
      <c r="B506" s="261"/>
    </row>
    <row r="507" spans="1:6" x14ac:dyDescent="0.25">
      <c r="B507" s="295"/>
    </row>
    <row r="508" spans="1:6" x14ac:dyDescent="0.25">
      <c r="B508" s="260"/>
    </row>
    <row r="509" spans="1:6" s="118" customFormat="1" ht="12.75" x14ac:dyDescent="0.2">
      <c r="A509" s="256"/>
      <c r="B509" s="269"/>
      <c r="C509" s="99"/>
      <c r="D509" s="99"/>
      <c r="E509" s="258"/>
    </row>
    <row r="510" spans="1:6" s="118" customFormat="1" ht="12.75" x14ac:dyDescent="0.2">
      <c r="A510" s="256"/>
      <c r="B510" s="319"/>
      <c r="C510" s="99"/>
      <c r="D510" s="99"/>
      <c r="E510" s="258"/>
    </row>
    <row r="511" spans="1:6" s="118" customFormat="1" ht="12.75" x14ac:dyDescent="0.2">
      <c r="A511" s="256"/>
      <c r="B511" s="274"/>
      <c r="C511" s="99"/>
      <c r="D511" s="99"/>
      <c r="E511" s="258"/>
    </row>
    <row r="512" spans="1:6" s="118" customFormat="1" ht="12.75" x14ac:dyDescent="0.2">
      <c r="A512" s="256"/>
      <c r="B512" s="274"/>
      <c r="C512" s="99"/>
      <c r="D512" s="99"/>
      <c r="E512" s="258"/>
    </row>
    <row r="513" spans="1:6" s="118" customFormat="1" ht="12.75" x14ac:dyDescent="0.25">
      <c r="A513" s="256"/>
      <c r="B513" s="324"/>
      <c r="C513" s="99"/>
      <c r="D513" s="99"/>
      <c r="E513" s="258"/>
    </row>
    <row r="514" spans="1:6" s="118" customFormat="1" x14ac:dyDescent="0.25">
      <c r="A514" s="271"/>
      <c r="B514" s="259"/>
      <c r="C514" s="289"/>
      <c r="D514" s="289"/>
      <c r="E514" s="290"/>
    </row>
    <row r="515" spans="1:6" s="118" customFormat="1" ht="12.75" x14ac:dyDescent="0.2">
      <c r="A515" s="256"/>
      <c r="B515" s="270"/>
      <c r="C515" s="99"/>
      <c r="D515" s="99"/>
      <c r="E515" s="258"/>
    </row>
    <row r="516" spans="1:6" s="118" customFormat="1" ht="12.75" x14ac:dyDescent="0.2">
      <c r="A516" s="256"/>
      <c r="B516" s="270"/>
      <c r="C516" s="99"/>
      <c r="D516" s="99"/>
      <c r="E516" s="258"/>
    </row>
    <row r="517" spans="1:6" s="118" customFormat="1" ht="12.75" x14ac:dyDescent="0.2">
      <c r="A517" s="256"/>
      <c r="B517" s="270"/>
      <c r="C517" s="99"/>
      <c r="D517" s="99"/>
      <c r="E517" s="258"/>
    </row>
    <row r="519" spans="1:6" s="118" customFormat="1" ht="12.75" x14ac:dyDescent="0.2">
      <c r="A519" s="256"/>
      <c r="B519" s="269"/>
      <c r="C519" s="99"/>
      <c r="D519" s="99"/>
      <c r="E519" s="258"/>
    </row>
    <row r="521" spans="1:6" s="118" customFormat="1" ht="12.75" x14ac:dyDescent="0.2">
      <c r="A521" s="256"/>
      <c r="B521" s="262"/>
      <c r="C521" s="99"/>
      <c r="D521" s="99"/>
      <c r="E521" s="258"/>
    </row>
    <row r="523" spans="1:6" s="118" customFormat="1" ht="12.75" x14ac:dyDescent="0.2">
      <c r="A523" s="256"/>
      <c r="B523" s="269"/>
      <c r="C523" s="99"/>
      <c r="D523" s="99"/>
      <c r="E523" s="258"/>
    </row>
    <row r="525" spans="1:6" x14ac:dyDescent="0.25">
      <c r="B525" s="262"/>
    </row>
    <row r="526" spans="1:6" x14ac:dyDescent="0.25">
      <c r="A526" s="325"/>
      <c r="B526" s="326"/>
      <c r="C526" s="327"/>
      <c r="D526" s="327"/>
      <c r="E526" s="328"/>
      <c r="F526" s="329"/>
    </row>
    <row r="527" spans="1:6" x14ac:dyDescent="0.25">
      <c r="A527" s="330"/>
      <c r="B527" s="261"/>
      <c r="C527" s="331"/>
      <c r="D527" s="331"/>
      <c r="E527" s="332"/>
      <c r="F527" s="333"/>
    </row>
    <row r="528" spans="1:6" x14ac:dyDescent="0.25">
      <c r="A528" s="330"/>
      <c r="B528" s="260"/>
      <c r="C528" s="331"/>
      <c r="D528" s="331"/>
      <c r="E528" s="332"/>
      <c r="F528" s="333"/>
    </row>
    <row r="529" spans="1:6" x14ac:dyDescent="0.25">
      <c r="A529" s="330"/>
      <c r="B529" s="260"/>
      <c r="C529" s="331"/>
      <c r="D529" s="331"/>
      <c r="E529" s="334"/>
      <c r="F529" s="333"/>
    </row>
    <row r="530" spans="1:6" x14ac:dyDescent="0.25">
      <c r="A530" s="330"/>
      <c r="B530" s="260"/>
      <c r="C530" s="331"/>
      <c r="D530" s="331"/>
      <c r="E530" s="334"/>
      <c r="F530" s="333"/>
    </row>
    <row r="531" spans="1:6" x14ac:dyDescent="0.25">
      <c r="A531" s="330"/>
      <c r="B531" s="260"/>
      <c r="C531" s="331"/>
      <c r="D531" s="331"/>
      <c r="E531" s="334"/>
      <c r="F531" s="333"/>
    </row>
    <row r="533" spans="1:6" ht="15.75" thickBot="1" x14ac:dyDescent="0.3">
      <c r="A533" s="264"/>
      <c r="B533" s="265"/>
      <c r="C533" s="266"/>
      <c r="D533" s="266"/>
      <c r="E533" s="267"/>
      <c r="F533" s="268"/>
    </row>
    <row r="534" spans="1:6" x14ac:dyDescent="0.25">
      <c r="A534" s="251"/>
      <c r="B534" s="252"/>
      <c r="C534" s="253"/>
      <c r="D534" s="253"/>
      <c r="E534" s="254"/>
      <c r="F534" s="255"/>
    </row>
    <row r="535" spans="1:6" x14ac:dyDescent="0.25">
      <c r="A535" s="325"/>
      <c r="B535" s="326"/>
      <c r="C535" s="327"/>
      <c r="D535" s="327"/>
      <c r="E535" s="328"/>
      <c r="F535" s="329"/>
    </row>
    <row r="536" spans="1:6" x14ac:dyDescent="0.25">
      <c r="B536" s="270"/>
    </row>
    <row r="537" spans="1:6" x14ac:dyDescent="0.25">
      <c r="B537" s="260"/>
    </row>
    <row r="538" spans="1:6" x14ac:dyDescent="0.25">
      <c r="B538" s="270"/>
    </row>
    <row r="539" spans="1:6" x14ac:dyDescent="0.25">
      <c r="B539" s="260"/>
    </row>
    <row r="540" spans="1:6" x14ac:dyDescent="0.25">
      <c r="B540" s="260"/>
    </row>
    <row r="541" spans="1:6" x14ac:dyDescent="0.25">
      <c r="B541" s="288"/>
    </row>
    <row r="542" spans="1:6" x14ac:dyDescent="0.25">
      <c r="B542" s="269"/>
    </row>
    <row r="543" spans="1:6" x14ac:dyDescent="0.25">
      <c r="B543" s="260"/>
    </row>
    <row r="544" spans="1:6" x14ac:dyDescent="0.25">
      <c r="B544" s="260"/>
    </row>
    <row r="546" spans="1:6" x14ac:dyDescent="0.25">
      <c r="A546" s="271"/>
      <c r="B546" s="269"/>
      <c r="C546" s="289"/>
      <c r="D546" s="289"/>
      <c r="E546" s="290"/>
      <c r="F546" s="291"/>
    </row>
    <row r="547" spans="1:6" x14ac:dyDescent="0.25">
      <c r="B547" s="259"/>
      <c r="C547" s="289"/>
      <c r="D547" s="289"/>
      <c r="E547" s="290"/>
      <c r="F547" s="291"/>
    </row>
    <row r="548" spans="1:6" x14ac:dyDescent="0.25">
      <c r="B548" s="123"/>
    </row>
    <row r="550" spans="1:6" x14ac:dyDescent="0.25">
      <c r="B550" s="269"/>
    </row>
    <row r="551" spans="1:6" x14ac:dyDescent="0.25">
      <c r="D551" s="289"/>
    </row>
    <row r="552" spans="1:6" x14ac:dyDescent="0.25">
      <c r="B552" s="123"/>
    </row>
    <row r="554" spans="1:6" x14ac:dyDescent="0.25">
      <c r="B554" s="261"/>
    </row>
    <row r="555" spans="1:6" x14ac:dyDescent="0.25">
      <c r="B555" s="260"/>
    </row>
    <row r="556" spans="1:6" x14ac:dyDescent="0.25">
      <c r="B556" s="270"/>
    </row>
    <row r="557" spans="1:6" x14ac:dyDescent="0.25">
      <c r="B557" s="260"/>
    </row>
    <row r="558" spans="1:6" x14ac:dyDescent="0.25">
      <c r="B558" s="260"/>
    </row>
    <row r="559" spans="1:6" x14ac:dyDescent="0.25">
      <c r="B559" s="260"/>
    </row>
    <row r="560" spans="1:6" x14ac:dyDescent="0.25">
      <c r="B560" s="269"/>
    </row>
    <row r="561" spans="1:6" x14ac:dyDescent="0.25">
      <c r="B561" s="260"/>
    </row>
    <row r="562" spans="1:6" x14ac:dyDescent="0.25">
      <c r="B562" s="260"/>
    </row>
    <row r="568" spans="1:6" ht="15.75" thickBot="1" x14ac:dyDescent="0.3">
      <c r="A568" s="264"/>
      <c r="B568" s="265"/>
      <c r="C568" s="266"/>
      <c r="D568" s="266"/>
      <c r="E568" s="267"/>
      <c r="F568" s="268"/>
    </row>
    <row r="569" spans="1:6" x14ac:dyDescent="0.25">
      <c r="A569" s="251"/>
      <c r="B569" s="252"/>
      <c r="C569" s="253"/>
      <c r="D569" s="253"/>
      <c r="E569" s="254"/>
      <c r="F569" s="255"/>
    </row>
    <row r="571" spans="1:6" x14ac:dyDescent="0.25">
      <c r="A571" s="310"/>
      <c r="B571" s="260"/>
      <c r="C571" s="311"/>
      <c r="D571" s="311"/>
      <c r="E571" s="312"/>
      <c r="F571" s="335"/>
    </row>
    <row r="572" spans="1:6" x14ac:dyDescent="0.25">
      <c r="A572" s="310"/>
      <c r="B572" s="260"/>
      <c r="C572" s="331"/>
      <c r="D572" s="331"/>
      <c r="E572" s="334"/>
      <c r="F572" s="336"/>
    </row>
    <row r="573" spans="1:6" x14ac:dyDescent="0.25">
      <c r="A573" s="310"/>
      <c r="B573" s="260"/>
      <c r="C573" s="331"/>
      <c r="D573" s="331"/>
      <c r="E573" s="334"/>
      <c r="F573" s="333"/>
    </row>
    <row r="574" spans="1:6" x14ac:dyDescent="0.25">
      <c r="B574" s="260"/>
    </row>
    <row r="575" spans="1:6" x14ac:dyDescent="0.25">
      <c r="A575" s="310"/>
      <c r="B575" s="261"/>
      <c r="C575" s="279"/>
      <c r="D575" s="279"/>
      <c r="E575" s="334"/>
      <c r="F575" s="336"/>
    </row>
    <row r="576" spans="1:6" x14ac:dyDescent="0.25">
      <c r="A576" s="310"/>
      <c r="B576" s="260"/>
      <c r="C576" s="279"/>
      <c r="D576" s="279"/>
      <c r="E576" s="334"/>
      <c r="F576" s="336"/>
    </row>
    <row r="577" spans="1:6" x14ac:dyDescent="0.25">
      <c r="A577" s="310"/>
      <c r="B577" s="260"/>
      <c r="C577" s="337"/>
      <c r="D577" s="331"/>
      <c r="E577" s="334"/>
      <c r="F577" s="333"/>
    </row>
    <row r="579" spans="1:6" x14ac:dyDescent="0.25">
      <c r="A579" s="338"/>
      <c r="B579" s="339"/>
      <c r="C579" s="340"/>
      <c r="D579" s="341"/>
      <c r="E579" s="312"/>
      <c r="F579" s="342"/>
    </row>
    <row r="580" spans="1:6" x14ac:dyDescent="0.25">
      <c r="A580" s="338"/>
      <c r="B580" s="274"/>
      <c r="C580" s="340"/>
      <c r="D580" s="341"/>
      <c r="E580" s="312"/>
      <c r="F580" s="342"/>
    </row>
    <row r="581" spans="1:6" x14ac:dyDescent="0.25">
      <c r="A581" s="338"/>
      <c r="B581" s="270"/>
      <c r="C581" s="340"/>
      <c r="D581" s="341"/>
      <c r="E581" s="312"/>
      <c r="F581" s="342"/>
    </row>
    <row r="582" spans="1:6" x14ac:dyDescent="0.25">
      <c r="A582" s="338"/>
      <c r="B582" s="274"/>
      <c r="C582" s="340"/>
      <c r="D582" s="341"/>
      <c r="E582" s="312"/>
      <c r="F582" s="342"/>
    </row>
    <row r="583" spans="1:6" x14ac:dyDescent="0.25">
      <c r="A583" s="310"/>
      <c r="B583" s="260"/>
      <c r="C583" s="331"/>
      <c r="D583" s="331"/>
      <c r="E583" s="334"/>
      <c r="F583" s="333"/>
    </row>
    <row r="584" spans="1:6" x14ac:dyDescent="0.25">
      <c r="A584" s="310"/>
      <c r="B584" s="260"/>
      <c r="C584" s="331"/>
      <c r="D584" s="331"/>
      <c r="E584" s="334"/>
      <c r="F584" s="333"/>
    </row>
    <row r="585" spans="1:6" x14ac:dyDescent="0.25">
      <c r="A585" s="310"/>
      <c r="B585" s="260"/>
      <c r="C585" s="337"/>
      <c r="D585" s="331"/>
      <c r="E585" s="334"/>
      <c r="F585" s="333"/>
    </row>
    <row r="588" spans="1:6" ht="15.75" thickBot="1" x14ac:dyDescent="0.3">
      <c r="A588" s="264"/>
      <c r="B588" s="265"/>
      <c r="C588" s="266"/>
      <c r="D588" s="266"/>
      <c r="E588" s="267"/>
      <c r="F588" s="268"/>
    </row>
    <row r="589" spans="1:6" x14ac:dyDescent="0.25">
      <c r="A589" s="343"/>
      <c r="B589" s="344"/>
      <c r="C589" s="345"/>
      <c r="D589" s="345"/>
      <c r="E589" s="345"/>
      <c r="F589" s="346"/>
    </row>
    <row r="590" spans="1:6" x14ac:dyDescent="0.25">
      <c r="B590" s="276"/>
      <c r="F590" s="277"/>
    </row>
    <row r="591" spans="1:6" x14ac:dyDescent="0.25">
      <c r="F591" s="277"/>
    </row>
    <row r="592" spans="1:6" x14ac:dyDescent="0.25">
      <c r="B592" s="276"/>
      <c r="F592" s="277"/>
    </row>
    <row r="594" spans="1:6" x14ac:dyDescent="0.25">
      <c r="B594" s="276"/>
      <c r="F594" s="277"/>
    </row>
    <row r="597" spans="1:6" x14ac:dyDescent="0.25">
      <c r="F597" s="277"/>
    </row>
    <row r="598" spans="1:6" x14ac:dyDescent="0.25">
      <c r="F598" s="277"/>
    </row>
    <row r="599" spans="1:6" x14ac:dyDescent="0.25">
      <c r="F599" s="277"/>
    </row>
    <row r="600" spans="1:6" x14ac:dyDescent="0.25">
      <c r="F600" s="277"/>
    </row>
    <row r="601" spans="1:6" x14ac:dyDescent="0.25">
      <c r="F601" s="277"/>
    </row>
    <row r="602" spans="1:6" x14ac:dyDescent="0.25">
      <c r="F602" s="277"/>
    </row>
    <row r="603" spans="1:6" x14ac:dyDescent="0.25">
      <c r="F603" s="277"/>
    </row>
    <row r="604" spans="1:6" x14ac:dyDescent="0.25">
      <c r="B604" s="276"/>
      <c r="F604" s="277"/>
    </row>
    <row r="605" spans="1:6" ht="15.75" thickBot="1" x14ac:dyDescent="0.3">
      <c r="A605" s="264"/>
      <c r="B605" s="300"/>
      <c r="C605" s="266"/>
      <c r="D605" s="266"/>
      <c r="E605" s="267"/>
      <c r="F605" s="268"/>
    </row>
    <row r="606" spans="1:6" x14ac:dyDescent="0.25">
      <c r="A606" s="251"/>
      <c r="B606" s="252"/>
      <c r="C606" s="253"/>
      <c r="D606" s="253"/>
      <c r="E606" s="254"/>
      <c r="F606" s="255"/>
    </row>
    <row r="607" spans="1:6" x14ac:dyDescent="0.25">
      <c r="B607" s="347"/>
      <c r="F607" s="277"/>
    </row>
    <row r="608" spans="1:6" x14ac:dyDescent="0.25">
      <c r="B608" s="305"/>
      <c r="F608" s="277"/>
    </row>
    <row r="609" spans="1:6" x14ac:dyDescent="0.25">
      <c r="B609" s="279"/>
      <c r="F609" s="277"/>
    </row>
    <row r="610" spans="1:6" x14ac:dyDescent="0.25">
      <c r="B610" s="270"/>
      <c r="F610" s="277"/>
    </row>
    <row r="611" spans="1:6" x14ac:dyDescent="0.25">
      <c r="B611" s="347"/>
      <c r="F611" s="277"/>
    </row>
    <row r="612" spans="1:6" x14ac:dyDescent="0.25">
      <c r="A612" s="338"/>
      <c r="B612" s="320"/>
      <c r="C612" s="340"/>
      <c r="D612" s="213"/>
      <c r="E612" s="348"/>
      <c r="F612" s="349"/>
    </row>
    <row r="613" spans="1:6" x14ac:dyDescent="0.25">
      <c r="B613" s="347"/>
      <c r="F613" s="277"/>
    </row>
    <row r="614" spans="1:6" x14ac:dyDescent="0.25">
      <c r="A614" s="271"/>
      <c r="B614" s="261"/>
      <c r="E614" s="272"/>
    </row>
    <row r="615" spans="1:6" x14ac:dyDescent="0.25">
      <c r="A615" s="271"/>
      <c r="B615" s="260"/>
      <c r="E615" s="272"/>
    </row>
    <row r="616" spans="1:6" x14ac:dyDescent="0.25">
      <c r="A616" s="271"/>
      <c r="B616" s="261"/>
      <c r="E616" s="272"/>
    </row>
    <row r="617" spans="1:6" x14ac:dyDescent="0.25">
      <c r="A617" s="271"/>
      <c r="B617" s="273"/>
      <c r="E617" s="272"/>
    </row>
    <row r="618" spans="1:6" x14ac:dyDescent="0.25">
      <c r="B618" s="260"/>
    </row>
    <row r="619" spans="1:6" x14ac:dyDescent="0.25">
      <c r="B619" s="347"/>
      <c r="F619" s="277"/>
    </row>
    <row r="620" spans="1:6" x14ac:dyDescent="0.25">
      <c r="B620" s="297"/>
      <c r="F620" s="277"/>
    </row>
    <row r="621" spans="1:6" x14ac:dyDescent="0.25">
      <c r="B621" s="347"/>
      <c r="F621" s="277"/>
    </row>
    <row r="623" spans="1:6" x14ac:dyDescent="0.25">
      <c r="B623" s="347"/>
      <c r="F623" s="277"/>
    </row>
    <row r="624" spans="1:6" x14ac:dyDescent="0.25">
      <c r="B624" s="299"/>
    </row>
    <row r="625" spans="2:6" x14ac:dyDescent="0.25">
      <c r="B625" s="347"/>
      <c r="F625" s="277"/>
    </row>
    <row r="626" spans="2:6" x14ac:dyDescent="0.25">
      <c r="B626" s="297"/>
      <c r="F626" s="277"/>
    </row>
    <row r="627" spans="2:6" x14ac:dyDescent="0.25">
      <c r="B627" s="347"/>
      <c r="F627" s="277"/>
    </row>
    <row r="628" spans="2:6" x14ac:dyDescent="0.25">
      <c r="B628" s="299"/>
    </row>
    <row r="629" spans="2:6" x14ac:dyDescent="0.25">
      <c r="B629" s="347"/>
      <c r="F629" s="277"/>
    </row>
    <row r="630" spans="2:6" x14ac:dyDescent="0.25">
      <c r="B630" s="297"/>
      <c r="F630" s="277"/>
    </row>
    <row r="631" spans="2:6" x14ac:dyDescent="0.25">
      <c r="B631" s="350"/>
      <c r="F631" s="277"/>
    </row>
    <row r="632" spans="2:6" x14ac:dyDescent="0.25">
      <c r="B632" s="299"/>
    </row>
    <row r="633" spans="2:6" x14ac:dyDescent="0.25">
      <c r="B633" s="350"/>
      <c r="F633" s="277"/>
    </row>
    <row r="634" spans="2:6" x14ac:dyDescent="0.25">
      <c r="B634" s="270"/>
    </row>
    <row r="635" spans="2:6" x14ac:dyDescent="0.25">
      <c r="B635" s="260"/>
    </row>
    <row r="636" spans="2:6" x14ac:dyDescent="0.25">
      <c r="B636" s="260"/>
    </row>
    <row r="637" spans="2:6" x14ac:dyDescent="0.25">
      <c r="B637" s="350"/>
      <c r="F637" s="277"/>
    </row>
    <row r="638" spans="2:6" x14ac:dyDescent="0.25">
      <c r="B638" s="297"/>
      <c r="F638" s="277"/>
    </row>
    <row r="639" spans="2:6" x14ac:dyDescent="0.25">
      <c r="B639" s="350"/>
      <c r="F639" s="277"/>
    </row>
    <row r="640" spans="2:6" x14ac:dyDescent="0.25">
      <c r="B640" s="299"/>
    </row>
    <row r="641" spans="1:6" x14ac:dyDescent="0.25">
      <c r="B641" s="350"/>
      <c r="F641" s="277"/>
    </row>
    <row r="642" spans="1:6" x14ac:dyDescent="0.25">
      <c r="B642" s="350"/>
      <c r="F642" s="277"/>
    </row>
    <row r="643" spans="1:6" x14ac:dyDescent="0.25">
      <c r="B643" s="350"/>
      <c r="F643" s="277"/>
    </row>
    <row r="644" spans="1:6" ht="15.75" thickBot="1" x14ac:dyDescent="0.3">
      <c r="A644" s="264"/>
      <c r="B644" s="265"/>
      <c r="C644" s="266"/>
      <c r="D644" s="266"/>
      <c r="E644" s="267"/>
      <c r="F644" s="268"/>
    </row>
    <row r="645" spans="1:6" x14ac:dyDescent="0.25">
      <c r="A645" s="251"/>
      <c r="B645" s="252"/>
      <c r="C645" s="253"/>
      <c r="D645" s="253"/>
      <c r="E645" s="254"/>
      <c r="F645" s="255"/>
    </row>
    <row r="646" spans="1:6" x14ac:dyDescent="0.25">
      <c r="B646" s="350"/>
      <c r="F646" s="277"/>
    </row>
    <row r="647" spans="1:6" x14ac:dyDescent="0.25">
      <c r="B647" s="297"/>
      <c r="F647" s="277"/>
    </row>
    <row r="648" spans="1:6" x14ac:dyDescent="0.25">
      <c r="B648" s="350"/>
      <c r="F648" s="277"/>
    </row>
    <row r="649" spans="1:6" x14ac:dyDescent="0.25">
      <c r="B649" s="299"/>
    </row>
    <row r="650" spans="1:6" x14ac:dyDescent="0.25">
      <c r="B650" s="350"/>
    </row>
    <row r="651" spans="1:6" x14ac:dyDescent="0.25">
      <c r="B651" s="269"/>
    </row>
    <row r="652" spans="1:6" x14ac:dyDescent="0.25">
      <c r="B652" s="350"/>
    </row>
    <row r="653" spans="1:6" s="99" customFormat="1" ht="12.75" x14ac:dyDescent="0.25">
      <c r="A653" s="256"/>
      <c r="B653" s="299"/>
      <c r="E653" s="258"/>
      <c r="F653" s="118"/>
    </row>
    <row r="654" spans="1:6" s="99" customFormat="1" ht="12.75" x14ac:dyDescent="0.25">
      <c r="A654" s="256"/>
      <c r="B654" s="299"/>
      <c r="E654" s="258"/>
      <c r="F654" s="118"/>
    </row>
    <row r="655" spans="1:6" s="99" customFormat="1" ht="12.75" x14ac:dyDescent="0.25">
      <c r="A655" s="256"/>
      <c r="B655" s="299"/>
      <c r="E655" s="258"/>
      <c r="F655" s="118"/>
    </row>
    <row r="656" spans="1:6" s="99" customFormat="1" ht="12.75" x14ac:dyDescent="0.25">
      <c r="A656" s="256"/>
      <c r="B656" s="299"/>
      <c r="E656" s="258"/>
      <c r="F656" s="118"/>
    </row>
    <row r="657" spans="1:6" s="99" customFormat="1" ht="12.75" x14ac:dyDescent="0.25">
      <c r="A657" s="256"/>
      <c r="B657" s="299"/>
      <c r="E657" s="258"/>
      <c r="F657" s="118"/>
    </row>
    <row r="658" spans="1:6" s="99" customFormat="1" ht="12.75" x14ac:dyDescent="0.25">
      <c r="A658" s="256"/>
      <c r="B658" s="299"/>
      <c r="E658" s="258"/>
      <c r="F658" s="118"/>
    </row>
    <row r="659" spans="1:6" s="99" customFormat="1" ht="12.75" x14ac:dyDescent="0.25">
      <c r="A659" s="256"/>
      <c r="B659" s="299"/>
      <c r="E659" s="258"/>
      <c r="F659" s="118"/>
    </row>
    <row r="660" spans="1:6" s="99" customFormat="1" ht="12.75" x14ac:dyDescent="0.25">
      <c r="A660" s="256"/>
      <c r="B660" s="299"/>
      <c r="E660" s="258"/>
      <c r="F660" s="118"/>
    </row>
    <row r="661" spans="1:6" s="99" customFormat="1" ht="12.75" x14ac:dyDescent="0.25">
      <c r="A661" s="256"/>
      <c r="B661" s="299"/>
      <c r="E661" s="258"/>
      <c r="F661" s="118"/>
    </row>
    <row r="662" spans="1:6" s="99" customFormat="1" ht="13.5" x14ac:dyDescent="0.25">
      <c r="A662" s="256"/>
      <c r="B662" s="350"/>
      <c r="E662" s="258"/>
      <c r="F662" s="118"/>
    </row>
    <row r="663" spans="1:6" s="99" customFormat="1" ht="12.75" x14ac:dyDescent="0.2">
      <c r="A663" s="256"/>
      <c r="B663" s="320"/>
      <c r="E663" s="258"/>
      <c r="F663" s="118"/>
    </row>
    <row r="664" spans="1:6" s="99" customFormat="1" ht="13.5" x14ac:dyDescent="0.25">
      <c r="A664" s="256"/>
      <c r="B664" s="350"/>
      <c r="E664" s="258"/>
      <c r="F664" s="118"/>
    </row>
    <row r="665" spans="1:6" s="99" customFormat="1" ht="12.75" x14ac:dyDescent="0.25">
      <c r="A665" s="256"/>
      <c r="B665" s="299"/>
      <c r="E665" s="258"/>
      <c r="F665" s="118"/>
    </row>
    <row r="666" spans="1:6" s="99" customFormat="1" ht="13.5" x14ac:dyDescent="0.25">
      <c r="A666" s="256"/>
      <c r="B666" s="350"/>
      <c r="E666" s="258"/>
      <c r="F666" s="118"/>
    </row>
    <row r="667" spans="1:6" s="99" customFormat="1" ht="12.75" x14ac:dyDescent="0.2">
      <c r="A667" s="256"/>
      <c r="B667" s="269"/>
      <c r="E667" s="258"/>
      <c r="F667" s="118"/>
    </row>
    <row r="668" spans="1:6" s="99" customFormat="1" ht="13.5" x14ac:dyDescent="0.25">
      <c r="A668" s="256"/>
      <c r="B668" s="350"/>
      <c r="E668" s="258"/>
      <c r="F668" s="118"/>
    </row>
    <row r="669" spans="1:6" x14ac:dyDescent="0.25">
      <c r="B669" s="299"/>
    </row>
    <row r="670" spans="1:6" x14ac:dyDescent="0.25">
      <c r="B670" s="299"/>
    </row>
    <row r="671" spans="1:6" x14ac:dyDescent="0.25">
      <c r="B671" s="299"/>
    </row>
    <row r="672" spans="1:6" x14ac:dyDescent="0.25">
      <c r="B672" s="299"/>
    </row>
    <row r="673" spans="1:6" x14ac:dyDescent="0.25">
      <c r="B673" s="299"/>
    </row>
    <row r="674" spans="1:6" x14ac:dyDescent="0.25">
      <c r="B674" s="350"/>
      <c r="F674" s="277"/>
    </row>
    <row r="675" spans="1:6" x14ac:dyDescent="0.25">
      <c r="B675" s="350"/>
      <c r="F675" s="277"/>
    </row>
    <row r="676" spans="1:6" x14ac:dyDescent="0.25">
      <c r="B676" s="350"/>
      <c r="F676" s="277"/>
    </row>
    <row r="677" spans="1:6" x14ac:dyDescent="0.25">
      <c r="B677" s="350"/>
      <c r="F677" s="277"/>
    </row>
    <row r="678" spans="1:6" x14ac:dyDescent="0.25">
      <c r="B678" s="350"/>
      <c r="F678" s="277"/>
    </row>
    <row r="679" spans="1:6" ht="15.75" thickBot="1" x14ac:dyDescent="0.3">
      <c r="A679" s="264"/>
      <c r="B679" s="265"/>
      <c r="C679" s="266"/>
      <c r="D679" s="266"/>
      <c r="E679" s="267"/>
      <c r="F679" s="268"/>
    </row>
    <row r="680" spans="1:6" x14ac:dyDescent="0.25">
      <c r="A680" s="251"/>
      <c r="B680" s="252"/>
      <c r="C680" s="253"/>
      <c r="D680" s="253"/>
      <c r="E680" s="254"/>
      <c r="F680" s="255"/>
    </row>
    <row r="681" spans="1:6" x14ac:dyDescent="0.25">
      <c r="B681" s="350"/>
      <c r="F681" s="277"/>
    </row>
    <row r="682" spans="1:6" x14ac:dyDescent="0.25">
      <c r="B682" s="276"/>
      <c r="F682" s="277"/>
    </row>
    <row r="683" spans="1:6" x14ac:dyDescent="0.25">
      <c r="F683" s="277"/>
    </row>
    <row r="684" spans="1:6" x14ac:dyDescent="0.25">
      <c r="B684" s="276"/>
      <c r="F684" s="277"/>
    </row>
    <row r="685" spans="1:6" x14ac:dyDescent="0.25">
      <c r="B685" s="350"/>
      <c r="F685" s="277"/>
    </row>
    <row r="686" spans="1:6" x14ac:dyDescent="0.25">
      <c r="B686" s="350"/>
      <c r="F686" s="277"/>
    </row>
    <row r="687" spans="1:6" x14ac:dyDescent="0.25">
      <c r="B687" s="350"/>
      <c r="F687" s="277"/>
    </row>
    <row r="688" spans="1:6" x14ac:dyDescent="0.25">
      <c r="B688" s="350"/>
      <c r="F688" s="277"/>
    </row>
    <row r="689" spans="2:6" x14ac:dyDescent="0.25">
      <c r="B689" s="350"/>
      <c r="F689" s="277"/>
    </row>
    <row r="690" spans="2:6" x14ac:dyDescent="0.25">
      <c r="B690" s="350"/>
      <c r="F690" s="277"/>
    </row>
    <row r="691" spans="2:6" x14ac:dyDescent="0.25">
      <c r="B691" s="350"/>
      <c r="F691" s="277"/>
    </row>
    <row r="692" spans="2:6" x14ac:dyDescent="0.25">
      <c r="B692" s="350"/>
      <c r="F692" s="277"/>
    </row>
    <row r="693" spans="2:6" x14ac:dyDescent="0.25">
      <c r="B693" s="350"/>
      <c r="F693" s="277"/>
    </row>
    <row r="694" spans="2:6" x14ac:dyDescent="0.25">
      <c r="B694" s="350"/>
      <c r="F694" s="277"/>
    </row>
    <row r="695" spans="2:6" x14ac:dyDescent="0.25">
      <c r="B695" s="350"/>
      <c r="F695" s="277"/>
    </row>
    <row r="696" spans="2:6" x14ac:dyDescent="0.25">
      <c r="B696" s="350"/>
      <c r="F696" s="277"/>
    </row>
    <row r="697" spans="2:6" x14ac:dyDescent="0.25">
      <c r="B697" s="350"/>
      <c r="F697" s="277"/>
    </row>
    <row r="698" spans="2:6" x14ac:dyDescent="0.25">
      <c r="B698" s="350"/>
      <c r="F698" s="277"/>
    </row>
    <row r="699" spans="2:6" x14ac:dyDescent="0.25">
      <c r="B699" s="350"/>
      <c r="F699" s="277"/>
    </row>
    <row r="700" spans="2:6" x14ac:dyDescent="0.25">
      <c r="B700" s="350"/>
      <c r="F700" s="277"/>
    </row>
    <row r="701" spans="2:6" x14ac:dyDescent="0.25">
      <c r="B701" s="350"/>
      <c r="F701" s="277"/>
    </row>
    <row r="702" spans="2:6" x14ac:dyDescent="0.25">
      <c r="B702" s="350"/>
      <c r="F702" s="277"/>
    </row>
    <row r="703" spans="2:6" x14ac:dyDescent="0.25">
      <c r="B703" s="350"/>
      <c r="F703" s="277"/>
    </row>
    <row r="704" spans="2:6" x14ac:dyDescent="0.25">
      <c r="B704" s="350"/>
      <c r="F704" s="277"/>
    </row>
    <row r="705" spans="2:6" x14ac:dyDescent="0.25">
      <c r="B705" s="350"/>
      <c r="F705" s="277"/>
    </row>
    <row r="706" spans="2:6" x14ac:dyDescent="0.25">
      <c r="B706" s="350"/>
      <c r="F706" s="277"/>
    </row>
    <row r="707" spans="2:6" x14ac:dyDescent="0.25">
      <c r="B707" s="350"/>
      <c r="F707" s="277"/>
    </row>
    <row r="708" spans="2:6" x14ac:dyDescent="0.25">
      <c r="B708" s="350"/>
      <c r="F708" s="277"/>
    </row>
    <row r="709" spans="2:6" x14ac:dyDescent="0.25">
      <c r="B709" s="350"/>
      <c r="F709" s="277"/>
    </row>
    <row r="710" spans="2:6" x14ac:dyDescent="0.25">
      <c r="B710" s="350"/>
      <c r="F710" s="277"/>
    </row>
    <row r="711" spans="2:6" x14ac:dyDescent="0.25">
      <c r="B711" s="350"/>
      <c r="F711" s="277"/>
    </row>
    <row r="712" spans="2:6" x14ac:dyDescent="0.25">
      <c r="B712" s="350"/>
      <c r="F712" s="277"/>
    </row>
    <row r="713" spans="2:6" x14ac:dyDescent="0.25">
      <c r="B713" s="350"/>
      <c r="F713" s="277"/>
    </row>
    <row r="714" spans="2:6" x14ac:dyDescent="0.25">
      <c r="B714" s="350"/>
      <c r="F714" s="277"/>
    </row>
    <row r="715" spans="2:6" x14ac:dyDescent="0.25">
      <c r="B715" s="350"/>
      <c r="F715" s="277"/>
    </row>
    <row r="716" spans="2:6" x14ac:dyDescent="0.25">
      <c r="B716" s="350"/>
      <c r="F716" s="277"/>
    </row>
    <row r="717" spans="2:6" x14ac:dyDescent="0.25">
      <c r="B717" s="350"/>
      <c r="F717" s="277"/>
    </row>
    <row r="718" spans="2:6" x14ac:dyDescent="0.25">
      <c r="B718" s="350"/>
      <c r="F718" s="277"/>
    </row>
    <row r="719" spans="2:6" x14ac:dyDescent="0.25">
      <c r="B719" s="350"/>
      <c r="F719" s="277"/>
    </row>
    <row r="720" spans="2:6" x14ac:dyDescent="0.25">
      <c r="B720" s="350"/>
      <c r="F720" s="277"/>
    </row>
    <row r="721" spans="1:6" x14ac:dyDescent="0.25">
      <c r="B721" s="350"/>
      <c r="F721" s="277"/>
    </row>
    <row r="722" spans="1:6" x14ac:dyDescent="0.25">
      <c r="B722" s="350"/>
      <c r="F722" s="277"/>
    </row>
    <row r="723" spans="1:6" x14ac:dyDescent="0.25">
      <c r="B723" s="350"/>
      <c r="F723" s="277"/>
    </row>
    <row r="724" spans="1:6" x14ac:dyDescent="0.25">
      <c r="B724" s="350"/>
      <c r="F724" s="277"/>
    </row>
    <row r="725" spans="1:6" ht="15.75" thickBot="1" x14ac:dyDescent="0.3">
      <c r="A725" s="264"/>
      <c r="B725" s="351"/>
      <c r="C725" s="266"/>
      <c r="D725" s="266"/>
      <c r="E725" s="267"/>
      <c r="F725" s="268"/>
    </row>
    <row r="726" spans="1:6" x14ac:dyDescent="0.25">
      <c r="A726" s="251"/>
      <c r="B726" s="352"/>
      <c r="C726" s="253"/>
      <c r="D726" s="253"/>
      <c r="E726" s="254"/>
      <c r="F726" s="255"/>
    </row>
    <row r="727" spans="1:6" x14ac:dyDescent="0.25">
      <c r="B727" s="350"/>
      <c r="F727" s="277"/>
    </row>
    <row r="728" spans="1:6" x14ac:dyDescent="0.25">
      <c r="A728" s="304"/>
      <c r="B728" s="353"/>
      <c r="C728" s="306"/>
      <c r="D728" s="306"/>
      <c r="E728" s="307"/>
      <c r="F728" s="308"/>
    </row>
    <row r="729" spans="1:6" x14ac:dyDescent="0.25">
      <c r="A729" s="310"/>
      <c r="B729" s="270"/>
      <c r="C729" s="311"/>
      <c r="D729" s="311"/>
      <c r="E729" s="312"/>
      <c r="F729" s="313"/>
    </row>
    <row r="730" spans="1:6" x14ac:dyDescent="0.25">
      <c r="A730" s="310"/>
      <c r="B730" s="270"/>
      <c r="C730" s="311"/>
      <c r="D730" s="311"/>
      <c r="E730" s="312"/>
      <c r="F730" s="313"/>
    </row>
    <row r="731" spans="1:6" x14ac:dyDescent="0.25">
      <c r="A731" s="310"/>
      <c r="B731" s="270"/>
      <c r="C731" s="311"/>
      <c r="D731" s="311"/>
      <c r="E731" s="312"/>
      <c r="F731" s="313"/>
    </row>
    <row r="732" spans="1:6" x14ac:dyDescent="0.25">
      <c r="A732" s="310"/>
      <c r="B732" s="270"/>
      <c r="C732" s="311"/>
      <c r="D732" s="311"/>
      <c r="E732" s="312"/>
      <c r="F732" s="313"/>
    </row>
    <row r="733" spans="1:6" x14ac:dyDescent="0.25">
      <c r="A733" s="310"/>
      <c r="B733" s="288"/>
      <c r="C733" s="311"/>
      <c r="D733" s="311"/>
      <c r="E733" s="312"/>
      <c r="F733" s="313"/>
    </row>
    <row r="734" spans="1:6" x14ac:dyDescent="0.25">
      <c r="A734" s="310"/>
      <c r="B734" s="295"/>
      <c r="C734" s="311"/>
      <c r="D734" s="311"/>
      <c r="E734" s="312"/>
      <c r="F734" s="313"/>
    </row>
    <row r="735" spans="1:6" x14ac:dyDescent="0.25">
      <c r="A735" s="310"/>
      <c r="B735" s="295"/>
      <c r="C735" s="311"/>
      <c r="D735" s="311"/>
      <c r="E735" s="312"/>
      <c r="F735" s="313"/>
    </row>
    <row r="736" spans="1:6" x14ac:dyDescent="0.25">
      <c r="A736" s="310"/>
      <c r="B736" s="295"/>
      <c r="C736" s="311"/>
      <c r="D736" s="311"/>
      <c r="E736" s="312"/>
      <c r="F736" s="313"/>
    </row>
    <row r="737" spans="1:6" x14ac:dyDescent="0.25">
      <c r="A737" s="310"/>
      <c r="B737" s="295"/>
      <c r="C737" s="311"/>
      <c r="D737" s="311"/>
      <c r="E737" s="312"/>
      <c r="F737" s="313"/>
    </row>
    <row r="738" spans="1:6" x14ac:dyDescent="0.25">
      <c r="A738" s="310"/>
      <c r="B738" s="270"/>
      <c r="C738" s="311"/>
      <c r="D738" s="311"/>
      <c r="E738" s="312"/>
      <c r="F738" s="313"/>
    </row>
    <row r="739" spans="1:6" x14ac:dyDescent="0.25">
      <c r="A739" s="310"/>
      <c r="B739" s="295"/>
      <c r="C739" s="311"/>
      <c r="D739" s="311"/>
      <c r="E739" s="312"/>
      <c r="F739" s="313"/>
    </row>
    <row r="740" spans="1:6" x14ac:dyDescent="0.25">
      <c r="A740" s="310"/>
      <c r="B740" s="270"/>
      <c r="C740" s="311"/>
      <c r="D740" s="311"/>
      <c r="E740" s="312"/>
      <c r="F740" s="313"/>
    </row>
    <row r="741" spans="1:6" x14ac:dyDescent="0.25">
      <c r="A741" s="310"/>
      <c r="B741" s="295"/>
      <c r="C741" s="311"/>
      <c r="D741" s="311"/>
      <c r="E741" s="312"/>
      <c r="F741" s="313"/>
    </row>
    <row r="742" spans="1:6" x14ac:dyDescent="0.25">
      <c r="A742" s="310"/>
      <c r="B742" s="270"/>
      <c r="C742" s="311"/>
      <c r="D742" s="311"/>
      <c r="E742" s="312"/>
      <c r="F742" s="313"/>
    </row>
    <row r="743" spans="1:6" x14ac:dyDescent="0.25">
      <c r="A743" s="310"/>
      <c r="B743" s="288"/>
      <c r="C743" s="311"/>
      <c r="D743" s="311"/>
      <c r="E743" s="312"/>
      <c r="F743" s="313"/>
    </row>
    <row r="744" spans="1:6" x14ac:dyDescent="0.25">
      <c r="A744" s="338"/>
      <c r="B744" s="274"/>
      <c r="C744" s="340"/>
      <c r="D744" s="340"/>
      <c r="E744" s="312"/>
      <c r="F744" s="354"/>
    </row>
    <row r="745" spans="1:6" x14ac:dyDescent="0.25">
      <c r="A745" s="310"/>
      <c r="B745" s="355"/>
      <c r="C745" s="311"/>
      <c r="D745" s="311"/>
      <c r="E745" s="312"/>
      <c r="F745" s="313"/>
    </row>
    <row r="746" spans="1:6" x14ac:dyDescent="0.25">
      <c r="A746" s="310"/>
      <c r="B746" s="295"/>
      <c r="C746" s="311"/>
      <c r="D746" s="311"/>
      <c r="E746" s="312"/>
      <c r="F746" s="313"/>
    </row>
    <row r="747" spans="1:6" x14ac:dyDescent="0.25">
      <c r="A747" s="310"/>
      <c r="B747" s="355"/>
      <c r="C747" s="311"/>
      <c r="D747" s="311"/>
      <c r="E747" s="312"/>
      <c r="F747" s="313"/>
    </row>
    <row r="748" spans="1:6" x14ac:dyDescent="0.25">
      <c r="A748" s="310"/>
      <c r="B748" s="295"/>
      <c r="C748" s="311"/>
      <c r="D748" s="311"/>
      <c r="E748" s="312"/>
      <c r="F748" s="313"/>
    </row>
    <row r="749" spans="1:6" x14ac:dyDescent="0.25">
      <c r="A749" s="310"/>
      <c r="B749" s="295"/>
      <c r="C749" s="311"/>
      <c r="D749" s="311"/>
      <c r="E749" s="312"/>
      <c r="F749" s="313"/>
    </row>
    <row r="750" spans="1:6" x14ac:dyDescent="0.25">
      <c r="A750" s="310"/>
      <c r="B750" s="295"/>
      <c r="C750" s="311"/>
      <c r="D750" s="311"/>
      <c r="E750" s="312"/>
      <c r="F750" s="313"/>
    </row>
    <row r="751" spans="1:6" x14ac:dyDescent="0.25">
      <c r="A751" s="310"/>
      <c r="B751" s="295"/>
      <c r="C751" s="311"/>
      <c r="D751" s="311"/>
      <c r="E751" s="312"/>
      <c r="F751" s="313"/>
    </row>
    <row r="752" spans="1:6" x14ac:dyDescent="0.25">
      <c r="A752" s="310"/>
      <c r="B752" s="295"/>
      <c r="C752" s="311"/>
      <c r="D752" s="311"/>
      <c r="E752" s="312"/>
      <c r="F752" s="313"/>
    </row>
    <row r="753" spans="1:6" x14ac:dyDescent="0.25">
      <c r="A753" s="310"/>
      <c r="B753" s="295"/>
      <c r="C753" s="311"/>
      <c r="D753" s="311"/>
      <c r="E753" s="312"/>
      <c r="F753" s="313"/>
    </row>
    <row r="754" spans="1:6" x14ac:dyDescent="0.25">
      <c r="A754" s="310"/>
      <c r="B754" s="295"/>
      <c r="C754" s="311"/>
      <c r="D754" s="311"/>
      <c r="E754" s="312"/>
      <c r="F754" s="313"/>
    </row>
    <row r="755" spans="1:6" x14ac:dyDescent="0.25">
      <c r="B755" s="350"/>
      <c r="F755" s="277"/>
    </row>
    <row r="756" spans="1:6" x14ac:dyDescent="0.25">
      <c r="A756" s="310"/>
      <c r="B756" s="270"/>
      <c r="C756" s="311"/>
      <c r="D756" s="311"/>
      <c r="E756" s="322"/>
      <c r="F756" s="313"/>
    </row>
    <row r="757" spans="1:6" x14ac:dyDescent="0.25">
      <c r="A757" s="310"/>
      <c r="B757" s="270"/>
      <c r="C757" s="311"/>
      <c r="D757" s="311"/>
      <c r="E757" s="322"/>
      <c r="F757" s="313"/>
    </row>
    <row r="758" spans="1:6" x14ac:dyDescent="0.25">
      <c r="A758" s="310"/>
      <c r="B758" s="270"/>
      <c r="C758" s="311"/>
      <c r="D758" s="311"/>
      <c r="E758" s="322"/>
      <c r="F758" s="313"/>
    </row>
    <row r="759" spans="1:6" x14ac:dyDescent="0.25">
      <c r="A759" s="310"/>
      <c r="B759" s="295"/>
      <c r="C759" s="311"/>
      <c r="D759" s="311"/>
      <c r="E759" s="322"/>
      <c r="F759" s="313"/>
    </row>
    <row r="760" spans="1:6" x14ac:dyDescent="0.25">
      <c r="A760" s="310"/>
      <c r="B760" s="295"/>
      <c r="C760" s="311"/>
      <c r="D760" s="311"/>
      <c r="E760" s="322"/>
      <c r="F760" s="313"/>
    </row>
    <row r="761" spans="1:6" x14ac:dyDescent="0.25">
      <c r="B761" s="350"/>
      <c r="F761" s="277"/>
    </row>
    <row r="762" spans="1:6" x14ac:dyDescent="0.25">
      <c r="B762" s="350"/>
      <c r="F762" s="277"/>
    </row>
    <row r="763" spans="1:6" x14ac:dyDescent="0.25">
      <c r="B763" s="350"/>
      <c r="F763" s="277"/>
    </row>
    <row r="764" spans="1:6" x14ac:dyDescent="0.25">
      <c r="B764" s="350"/>
      <c r="F764" s="277"/>
    </row>
    <row r="765" spans="1:6" ht="15.75" thickBot="1" x14ac:dyDescent="0.3">
      <c r="A765" s="264"/>
      <c r="B765" s="265"/>
      <c r="C765" s="266"/>
      <c r="D765" s="266"/>
      <c r="E765" s="267"/>
      <c r="F765" s="268"/>
    </row>
    <row r="766" spans="1:6" x14ac:dyDescent="0.25">
      <c r="A766" s="251"/>
      <c r="B766" s="352"/>
      <c r="C766" s="253"/>
      <c r="D766" s="253"/>
      <c r="E766" s="254"/>
      <c r="F766" s="255"/>
    </row>
    <row r="767" spans="1:6" x14ac:dyDescent="0.25">
      <c r="B767" s="350"/>
      <c r="F767" s="277"/>
    </row>
    <row r="768" spans="1:6" x14ac:dyDescent="0.25">
      <c r="A768" s="310"/>
      <c r="B768" s="305"/>
      <c r="C768" s="311"/>
      <c r="D768" s="311"/>
      <c r="E768" s="312"/>
      <c r="F768" s="313"/>
    </row>
    <row r="769" spans="1:6" x14ac:dyDescent="0.25">
      <c r="A769" s="310"/>
      <c r="B769" s="305"/>
      <c r="C769" s="311"/>
      <c r="D769" s="311"/>
      <c r="E769" s="312"/>
      <c r="F769" s="313"/>
    </row>
    <row r="770" spans="1:6" x14ac:dyDescent="0.25">
      <c r="A770" s="310"/>
      <c r="B770" s="305"/>
      <c r="C770" s="311"/>
      <c r="D770" s="311"/>
      <c r="E770" s="312"/>
      <c r="F770" s="313"/>
    </row>
    <row r="771" spans="1:6" x14ac:dyDescent="0.25">
      <c r="A771" s="310"/>
      <c r="B771" s="305"/>
      <c r="C771" s="311"/>
      <c r="D771" s="311"/>
      <c r="E771" s="312"/>
      <c r="F771" s="313"/>
    </row>
    <row r="772" spans="1:6" x14ac:dyDescent="0.25">
      <c r="A772" s="310"/>
      <c r="B772" s="356"/>
      <c r="C772" s="311"/>
      <c r="D772" s="311"/>
      <c r="E772" s="312"/>
      <c r="F772" s="313"/>
    </row>
    <row r="773" spans="1:6" x14ac:dyDescent="0.25">
      <c r="A773" s="310"/>
      <c r="B773" s="356"/>
      <c r="C773" s="311"/>
      <c r="D773" s="311"/>
      <c r="E773" s="312"/>
      <c r="F773" s="313"/>
    </row>
    <row r="774" spans="1:6" x14ac:dyDescent="0.25">
      <c r="A774" s="310"/>
      <c r="B774" s="356"/>
      <c r="C774" s="311"/>
      <c r="D774" s="311"/>
      <c r="E774" s="312"/>
      <c r="F774" s="313"/>
    </row>
    <row r="775" spans="1:6" x14ac:dyDescent="0.25">
      <c r="A775" s="310"/>
      <c r="B775" s="356"/>
      <c r="C775" s="311"/>
      <c r="D775" s="311"/>
      <c r="E775" s="312"/>
      <c r="F775" s="313"/>
    </row>
    <row r="776" spans="1:6" x14ac:dyDescent="0.25">
      <c r="A776" s="310"/>
      <c r="B776" s="356"/>
      <c r="C776" s="311"/>
      <c r="D776" s="311"/>
      <c r="E776" s="312"/>
      <c r="F776" s="313"/>
    </row>
    <row r="777" spans="1:6" x14ac:dyDescent="0.25">
      <c r="A777" s="310"/>
      <c r="B777" s="356"/>
      <c r="C777" s="311"/>
      <c r="D777" s="311"/>
      <c r="E777" s="312"/>
      <c r="F777" s="313"/>
    </row>
    <row r="778" spans="1:6" x14ac:dyDescent="0.25">
      <c r="A778" s="310"/>
      <c r="B778" s="356"/>
      <c r="C778" s="311"/>
      <c r="D778" s="311"/>
      <c r="E778" s="312"/>
      <c r="F778" s="313"/>
    </row>
    <row r="779" spans="1:6" x14ac:dyDescent="0.25">
      <c r="A779" s="310"/>
      <c r="B779" s="356"/>
      <c r="C779" s="311"/>
      <c r="D779" s="311"/>
      <c r="E779" s="312"/>
      <c r="F779" s="313"/>
    </row>
    <row r="780" spans="1:6" x14ac:dyDescent="0.25">
      <c r="A780" s="310"/>
      <c r="B780" s="356"/>
      <c r="C780" s="311"/>
      <c r="D780" s="311"/>
      <c r="E780" s="312"/>
      <c r="F780" s="313"/>
    </row>
    <row r="781" spans="1:6" x14ac:dyDescent="0.25">
      <c r="B781" s="299"/>
    </row>
    <row r="782" spans="1:6" x14ac:dyDescent="0.25">
      <c r="A782" s="310"/>
      <c r="B782" s="305"/>
      <c r="C782" s="311"/>
      <c r="D782" s="311"/>
      <c r="E782" s="312"/>
      <c r="F782" s="313"/>
    </row>
    <row r="783" spans="1:6" x14ac:dyDescent="0.25">
      <c r="A783" s="310"/>
      <c r="B783" s="305"/>
      <c r="C783" s="311"/>
      <c r="D783" s="311"/>
      <c r="E783" s="312"/>
      <c r="F783" s="313"/>
    </row>
    <row r="784" spans="1:6" x14ac:dyDescent="0.25">
      <c r="A784" s="310"/>
      <c r="B784" s="356"/>
      <c r="C784" s="311"/>
      <c r="D784" s="311"/>
      <c r="E784" s="312"/>
      <c r="F784" s="313"/>
    </row>
    <row r="785" spans="1:6" x14ac:dyDescent="0.25">
      <c r="A785" s="310"/>
      <c r="B785" s="356"/>
      <c r="C785" s="311"/>
      <c r="D785" s="311"/>
      <c r="E785" s="312"/>
      <c r="F785" s="313"/>
    </row>
    <row r="786" spans="1:6" x14ac:dyDescent="0.25">
      <c r="A786" s="310"/>
      <c r="B786" s="356"/>
      <c r="C786" s="311"/>
      <c r="D786" s="311"/>
      <c r="E786" s="312"/>
      <c r="F786" s="313"/>
    </row>
    <row r="788" spans="1:6" x14ac:dyDescent="0.25">
      <c r="A788" s="310"/>
      <c r="B788" s="302"/>
      <c r="C788" s="311"/>
      <c r="D788" s="311"/>
      <c r="E788" s="312"/>
      <c r="F788" s="313"/>
    </row>
    <row r="789" spans="1:6" x14ac:dyDescent="0.25">
      <c r="A789" s="310"/>
      <c r="B789" s="302"/>
      <c r="C789" s="311"/>
      <c r="D789" s="311"/>
      <c r="E789" s="312"/>
      <c r="F789" s="313"/>
    </row>
    <row r="790" spans="1:6" x14ac:dyDescent="0.25">
      <c r="A790" s="310"/>
      <c r="B790" s="302"/>
      <c r="C790" s="311"/>
      <c r="D790" s="311"/>
      <c r="E790" s="312"/>
      <c r="F790" s="313"/>
    </row>
    <row r="791" spans="1:6" x14ac:dyDescent="0.25">
      <c r="A791" s="310"/>
      <c r="B791" s="302"/>
      <c r="C791" s="311"/>
      <c r="D791" s="311"/>
      <c r="E791" s="312"/>
      <c r="F791" s="313"/>
    </row>
    <row r="792" spans="1:6" x14ac:dyDescent="0.25">
      <c r="A792" s="310"/>
      <c r="B792" s="260"/>
      <c r="C792" s="311"/>
      <c r="D792" s="311"/>
      <c r="E792" s="312"/>
      <c r="F792" s="313"/>
    </row>
    <row r="793" spans="1:6" x14ac:dyDescent="0.25">
      <c r="A793" s="310"/>
      <c r="B793" s="302"/>
      <c r="C793" s="311"/>
      <c r="D793" s="311"/>
      <c r="E793" s="312"/>
      <c r="F793" s="313"/>
    </row>
    <row r="794" spans="1:6" ht="15.75" thickBot="1" x14ac:dyDescent="0.3">
      <c r="A794" s="264"/>
      <c r="B794" s="265"/>
      <c r="C794" s="266"/>
      <c r="D794" s="266"/>
      <c r="E794" s="267"/>
      <c r="F794" s="268"/>
    </row>
    <row r="796" spans="1:6" x14ac:dyDescent="0.25">
      <c r="B796" s="276"/>
    </row>
    <row r="798" spans="1:6" x14ac:dyDescent="0.25">
      <c r="B798" s="276"/>
    </row>
    <row r="800" spans="1:6" x14ac:dyDescent="0.25">
      <c r="B800" s="276"/>
    </row>
    <row r="801" spans="1:6" x14ac:dyDescent="0.25">
      <c r="B801" s="299"/>
    </row>
    <row r="802" spans="1:6" x14ac:dyDescent="0.25">
      <c r="B802" s="299"/>
    </row>
    <row r="803" spans="1:6" x14ac:dyDescent="0.25">
      <c r="B803" s="299"/>
    </row>
    <row r="805" spans="1:6" ht="15.75" thickBot="1" x14ac:dyDescent="0.3">
      <c r="A805" s="264"/>
      <c r="B805" s="300"/>
      <c r="C805" s="266"/>
      <c r="D805" s="266"/>
      <c r="E805" s="267"/>
      <c r="F805" s="268"/>
    </row>
    <row r="806" spans="1:6" x14ac:dyDescent="0.25">
      <c r="A806" s="251"/>
      <c r="B806" s="252"/>
      <c r="C806" s="253"/>
      <c r="D806" s="253"/>
      <c r="E806" s="254"/>
      <c r="F806" s="255"/>
    </row>
    <row r="807" spans="1:6" x14ac:dyDescent="0.25">
      <c r="A807" s="325"/>
      <c r="B807" s="326"/>
      <c r="C807" s="327"/>
      <c r="D807" s="327"/>
      <c r="E807" s="328"/>
      <c r="F807" s="329"/>
    </row>
    <row r="808" spans="1:6" x14ac:dyDescent="0.25">
      <c r="B808" s="357"/>
      <c r="C808" s="358"/>
      <c r="E808" s="99"/>
      <c r="F808" s="277"/>
    </row>
    <row r="809" spans="1:6" x14ac:dyDescent="0.25">
      <c r="B809" s="298"/>
      <c r="E809" s="99"/>
      <c r="F809" s="277"/>
    </row>
    <row r="810" spans="1:6" x14ac:dyDescent="0.25">
      <c r="A810" s="359"/>
      <c r="B810" s="360"/>
      <c r="E810" s="99"/>
      <c r="F810" s="277"/>
    </row>
    <row r="811" spans="1:6" x14ac:dyDescent="0.25">
      <c r="A811" s="359"/>
      <c r="B811" s="298"/>
      <c r="E811" s="99"/>
      <c r="F811" s="277"/>
    </row>
    <row r="812" spans="1:6" x14ac:dyDescent="0.25">
      <c r="A812" s="359"/>
      <c r="B812" s="360"/>
      <c r="E812" s="99"/>
      <c r="F812" s="277"/>
    </row>
    <row r="813" spans="1:6" x14ac:dyDescent="0.25">
      <c r="A813" s="359"/>
      <c r="B813" s="298"/>
      <c r="E813" s="99"/>
      <c r="F813" s="277"/>
    </row>
    <row r="814" spans="1:6" x14ac:dyDescent="0.25">
      <c r="A814" s="359"/>
      <c r="B814" s="360"/>
      <c r="E814" s="99"/>
      <c r="F814" s="277"/>
    </row>
    <row r="815" spans="1:6" x14ac:dyDescent="0.25">
      <c r="A815" s="359"/>
      <c r="B815" s="360"/>
      <c r="E815" s="99"/>
      <c r="F815" s="277"/>
    </row>
    <row r="816" spans="1:6" x14ac:dyDescent="0.25">
      <c r="A816" s="359"/>
      <c r="B816" s="360"/>
      <c r="E816" s="99"/>
      <c r="F816" s="277"/>
    </row>
    <row r="817" spans="1:6" x14ac:dyDescent="0.25">
      <c r="A817" s="359"/>
      <c r="B817" s="360"/>
      <c r="E817" s="99"/>
      <c r="F817" s="277"/>
    </row>
    <row r="818" spans="1:6" x14ac:dyDescent="0.25">
      <c r="A818" s="359"/>
      <c r="B818" s="360"/>
      <c r="E818" s="99"/>
      <c r="F818" s="277"/>
    </row>
    <row r="819" spans="1:6" x14ac:dyDescent="0.25">
      <c r="A819" s="359"/>
      <c r="B819" s="360"/>
      <c r="F819" s="277"/>
    </row>
    <row r="820" spans="1:6" x14ac:dyDescent="0.25">
      <c r="A820" s="359"/>
      <c r="B820" s="360"/>
      <c r="F820" s="277"/>
    </row>
    <row r="821" spans="1:6" x14ac:dyDescent="0.25">
      <c r="A821" s="359"/>
      <c r="B821" s="360"/>
      <c r="F821" s="277"/>
    </row>
    <row r="822" spans="1:6" x14ac:dyDescent="0.25">
      <c r="A822" s="359"/>
      <c r="B822" s="360"/>
      <c r="F822" s="277"/>
    </row>
    <row r="823" spans="1:6" x14ac:dyDescent="0.25">
      <c r="A823" s="359"/>
      <c r="B823" s="360"/>
      <c r="F823" s="277"/>
    </row>
    <row r="824" spans="1:6" x14ac:dyDescent="0.25">
      <c r="A824" s="359"/>
      <c r="B824" s="360"/>
      <c r="F824" s="277"/>
    </row>
    <row r="825" spans="1:6" x14ac:dyDescent="0.25">
      <c r="A825" s="359"/>
      <c r="B825" s="360"/>
      <c r="F825" s="277"/>
    </row>
    <row r="826" spans="1:6" x14ac:dyDescent="0.25">
      <c r="A826" s="359"/>
      <c r="B826" s="360"/>
      <c r="F826" s="277"/>
    </row>
    <row r="827" spans="1:6" x14ac:dyDescent="0.25">
      <c r="A827" s="359"/>
      <c r="B827" s="360"/>
      <c r="F827" s="277"/>
    </row>
    <row r="828" spans="1:6" x14ac:dyDescent="0.25">
      <c r="A828" s="359"/>
      <c r="B828" s="360"/>
      <c r="F828" s="277"/>
    </row>
    <row r="829" spans="1:6" x14ac:dyDescent="0.25">
      <c r="A829" s="359"/>
      <c r="B829" s="360"/>
      <c r="F829" s="277"/>
    </row>
    <row r="830" spans="1:6" x14ac:dyDescent="0.25">
      <c r="A830" s="359"/>
      <c r="B830" s="360"/>
      <c r="F830" s="277"/>
    </row>
    <row r="831" spans="1:6" x14ac:dyDescent="0.25">
      <c r="A831" s="359"/>
      <c r="B831" s="360"/>
      <c r="F831" s="277"/>
    </row>
    <row r="832" spans="1:6" x14ac:dyDescent="0.25">
      <c r="A832" s="359"/>
      <c r="B832" s="360"/>
      <c r="F832" s="277"/>
    </row>
    <row r="833" spans="1:6" x14ac:dyDescent="0.25">
      <c r="A833" s="359"/>
      <c r="B833" s="360"/>
      <c r="F833" s="277"/>
    </row>
    <row r="834" spans="1:6" x14ac:dyDescent="0.25">
      <c r="A834" s="359"/>
      <c r="B834" s="360"/>
      <c r="F834" s="277"/>
    </row>
    <row r="835" spans="1:6" x14ac:dyDescent="0.25">
      <c r="A835" s="359"/>
      <c r="B835" s="360"/>
      <c r="F835" s="277"/>
    </row>
    <row r="836" spans="1:6" x14ac:dyDescent="0.25">
      <c r="A836" s="359"/>
      <c r="B836" s="360"/>
      <c r="F836" s="277"/>
    </row>
    <row r="837" spans="1:6" x14ac:dyDescent="0.25">
      <c r="A837" s="359"/>
      <c r="B837" s="360"/>
      <c r="F837" s="277"/>
    </row>
    <row r="838" spans="1:6" x14ac:dyDescent="0.25">
      <c r="A838" s="359"/>
      <c r="B838" s="360"/>
      <c r="F838" s="277"/>
    </row>
    <row r="839" spans="1:6" x14ac:dyDescent="0.25">
      <c r="A839" s="359"/>
      <c r="B839" s="360"/>
      <c r="F839" s="277"/>
    </row>
    <row r="840" spans="1:6" x14ac:dyDescent="0.25">
      <c r="A840" s="359"/>
      <c r="B840" s="360"/>
      <c r="F840" s="277"/>
    </row>
    <row r="841" spans="1:6" x14ac:dyDescent="0.25">
      <c r="A841" s="359"/>
      <c r="B841" s="360"/>
      <c r="F841" s="277"/>
    </row>
    <row r="842" spans="1:6" x14ac:dyDescent="0.25">
      <c r="A842" s="359"/>
      <c r="B842" s="360"/>
      <c r="F842" s="277"/>
    </row>
    <row r="843" spans="1:6" x14ac:dyDescent="0.25">
      <c r="A843" s="359"/>
      <c r="B843" s="360"/>
      <c r="F843" s="277"/>
    </row>
    <row r="844" spans="1:6" x14ac:dyDescent="0.25">
      <c r="A844" s="359"/>
      <c r="B844" s="360"/>
      <c r="F844" s="277"/>
    </row>
    <row r="845" spans="1:6" x14ac:dyDescent="0.25">
      <c r="A845" s="359"/>
      <c r="B845" s="360"/>
      <c r="F845" s="277"/>
    </row>
    <row r="846" spans="1:6" x14ac:dyDescent="0.25">
      <c r="A846" s="359"/>
      <c r="B846" s="360"/>
      <c r="F846" s="277"/>
    </row>
    <row r="847" spans="1:6" x14ac:dyDescent="0.25">
      <c r="A847" s="359"/>
      <c r="B847" s="360"/>
      <c r="F847" s="277"/>
    </row>
    <row r="848" spans="1:6" x14ac:dyDescent="0.25">
      <c r="A848" s="359"/>
      <c r="B848" s="360"/>
      <c r="F848" s="277"/>
    </row>
    <row r="849" spans="1:6" x14ac:dyDescent="0.25">
      <c r="A849" s="359"/>
      <c r="B849" s="360"/>
      <c r="F849" s="277"/>
    </row>
    <row r="850" spans="1:6" ht="15.75" thickBot="1" x14ac:dyDescent="0.3">
      <c r="A850" s="361"/>
      <c r="B850" s="362"/>
      <c r="C850" s="248"/>
      <c r="D850" s="248"/>
      <c r="E850" s="249"/>
      <c r="F850" s="363"/>
    </row>
    <row r="851" spans="1:6" ht="15.75" thickBot="1" x14ac:dyDescent="0.3">
      <c r="A851" s="264"/>
      <c r="B851" s="265"/>
      <c r="C851" s="266"/>
      <c r="D851" s="266"/>
      <c r="E851" s="266"/>
      <c r="F851" s="268"/>
    </row>
    <row r="852" spans="1:6" x14ac:dyDescent="0.25">
      <c r="A852" s="251"/>
      <c r="B852" s="252"/>
      <c r="C852" s="253"/>
      <c r="D852" s="253"/>
      <c r="E852" s="254"/>
      <c r="F852" s="255"/>
    </row>
    <row r="853" spans="1:6" x14ac:dyDescent="0.25">
      <c r="B853" s="275"/>
    </row>
    <row r="854" spans="1:6" x14ac:dyDescent="0.25">
      <c r="B854" s="278"/>
    </row>
    <row r="855" spans="1:6" x14ac:dyDescent="0.25">
      <c r="B855" s="279"/>
    </row>
    <row r="856" spans="1:6" x14ac:dyDescent="0.25">
      <c r="B856" s="261"/>
    </row>
    <row r="857" spans="1:6" x14ac:dyDescent="0.25">
      <c r="B857" s="261"/>
    </row>
    <row r="858" spans="1:6" x14ac:dyDescent="0.25">
      <c r="B858" s="261"/>
    </row>
    <row r="859" spans="1:6" x14ac:dyDescent="0.25">
      <c r="B859" s="261"/>
    </row>
    <row r="860" spans="1:6" x14ac:dyDescent="0.25">
      <c r="B860" s="261"/>
    </row>
    <row r="861" spans="1:6" x14ac:dyDescent="0.25">
      <c r="B861" s="263"/>
    </row>
    <row r="862" spans="1:6" x14ac:dyDescent="0.25">
      <c r="B862" s="269"/>
    </row>
    <row r="863" spans="1:6" x14ac:dyDescent="0.25">
      <c r="B863" s="287"/>
    </row>
    <row r="864" spans="1:6" x14ac:dyDescent="0.25">
      <c r="B864" s="260"/>
    </row>
    <row r="865" spans="1:6" x14ac:dyDescent="0.25">
      <c r="B865" s="280"/>
    </row>
    <row r="866" spans="1:6" x14ac:dyDescent="0.25">
      <c r="B866" s="260"/>
    </row>
    <row r="867" spans="1:6" x14ac:dyDescent="0.25">
      <c r="A867" s="281"/>
      <c r="B867" s="282"/>
      <c r="C867" s="283"/>
      <c r="D867" s="283"/>
      <c r="E867" s="284"/>
      <c r="F867" s="285"/>
    </row>
    <row r="868" spans="1:6" x14ac:dyDescent="0.25">
      <c r="B868" s="286"/>
    </row>
    <row r="869" spans="1:6" x14ac:dyDescent="0.25">
      <c r="B869" s="280"/>
    </row>
    <row r="870" spans="1:6" x14ac:dyDescent="0.25">
      <c r="B870" s="261"/>
    </row>
    <row r="871" spans="1:6" x14ac:dyDescent="0.25">
      <c r="B871" s="261"/>
    </row>
    <row r="872" spans="1:6" x14ac:dyDescent="0.25">
      <c r="B872" s="261"/>
    </row>
    <row r="873" spans="1:6" x14ac:dyDescent="0.25">
      <c r="B873" s="263"/>
    </row>
    <row r="874" spans="1:6" x14ac:dyDescent="0.25">
      <c r="B874" s="261"/>
    </row>
    <row r="875" spans="1:6" x14ac:dyDescent="0.25">
      <c r="B875" s="287"/>
    </row>
    <row r="876" spans="1:6" x14ac:dyDescent="0.25">
      <c r="B876" s="260"/>
    </row>
    <row r="877" spans="1:6" x14ac:dyDescent="0.25">
      <c r="B877" s="260"/>
    </row>
    <row r="878" spans="1:6" x14ac:dyDescent="0.25">
      <c r="B878" s="260"/>
    </row>
    <row r="879" spans="1:6" x14ac:dyDescent="0.25">
      <c r="B879" s="261"/>
    </row>
    <row r="880" spans="1:6" x14ac:dyDescent="0.25">
      <c r="B880" s="269"/>
    </row>
    <row r="881" spans="1:6" x14ac:dyDescent="0.25">
      <c r="B881" s="314"/>
    </row>
    <row r="882" spans="1:6" x14ac:dyDescent="0.25">
      <c r="B882" s="261"/>
    </row>
    <row r="883" spans="1:6" x14ac:dyDescent="0.25">
      <c r="B883" s="287"/>
    </row>
    <row r="884" spans="1:6" x14ac:dyDescent="0.25">
      <c r="B884" s="260"/>
    </row>
    <row r="885" spans="1:6" x14ac:dyDescent="0.25">
      <c r="B885" s="260"/>
    </row>
    <row r="886" spans="1:6" x14ac:dyDescent="0.25">
      <c r="B886" s="260"/>
    </row>
    <row r="887" spans="1:6" x14ac:dyDescent="0.25">
      <c r="B887" s="260"/>
    </row>
    <row r="888" spans="1:6" x14ac:dyDescent="0.25">
      <c r="B888" s="297"/>
      <c r="F888" s="277"/>
    </row>
    <row r="889" spans="1:6" x14ac:dyDescent="0.25">
      <c r="B889" s="298"/>
      <c r="F889" s="277"/>
    </row>
    <row r="890" spans="1:6" x14ac:dyDescent="0.25">
      <c r="A890" s="271"/>
      <c r="B890" s="259"/>
      <c r="C890" s="289"/>
      <c r="D890" s="289"/>
      <c r="E890" s="290"/>
      <c r="F890" s="291"/>
    </row>
    <row r="891" spans="1:6" x14ac:dyDescent="0.25">
      <c r="A891" s="281"/>
      <c r="B891" s="282"/>
      <c r="C891" s="283"/>
      <c r="D891" s="283"/>
      <c r="E891" s="284"/>
      <c r="F891" s="285"/>
    </row>
    <row r="892" spans="1:6" ht="15.75" thickBot="1" x14ac:dyDescent="0.3">
      <c r="A892" s="264"/>
      <c r="B892" s="265"/>
      <c r="C892" s="266"/>
      <c r="D892" s="266"/>
      <c r="E892" s="267"/>
      <c r="F892" s="268"/>
    </row>
    <row r="893" spans="1:6" x14ac:dyDescent="0.25">
      <c r="A893" s="251"/>
      <c r="B893" s="252"/>
      <c r="C893" s="253"/>
      <c r="D893" s="253"/>
      <c r="E893" s="254"/>
      <c r="F893" s="255"/>
    </row>
    <row r="894" spans="1:6" x14ac:dyDescent="0.25">
      <c r="B894" s="347"/>
      <c r="F894" s="277"/>
    </row>
    <row r="895" spans="1:6" x14ac:dyDescent="0.25">
      <c r="B895" s="261"/>
    </row>
    <row r="896" spans="1:6" x14ac:dyDescent="0.25">
      <c r="B896" s="261"/>
    </row>
    <row r="897" spans="1:6" x14ac:dyDescent="0.25">
      <c r="B897" s="269"/>
    </row>
    <row r="898" spans="1:6" x14ac:dyDescent="0.25">
      <c r="B898" s="314"/>
    </row>
    <row r="899" spans="1:6" x14ac:dyDescent="0.25">
      <c r="B899" s="261"/>
    </row>
    <row r="900" spans="1:6" x14ac:dyDescent="0.25">
      <c r="B900" s="287"/>
    </row>
    <row r="901" spans="1:6" x14ac:dyDescent="0.25">
      <c r="B901" s="260"/>
    </row>
    <row r="902" spans="1:6" x14ac:dyDescent="0.25">
      <c r="B902" s="260"/>
    </row>
    <row r="903" spans="1:6" x14ac:dyDescent="0.25">
      <c r="B903" s="260"/>
    </row>
    <row r="904" spans="1:6" x14ac:dyDescent="0.25">
      <c r="B904" s="347"/>
      <c r="F904" s="277"/>
    </row>
    <row r="905" spans="1:6" x14ac:dyDescent="0.25">
      <c r="B905" s="297"/>
      <c r="F905" s="277"/>
    </row>
    <row r="906" spans="1:6" x14ac:dyDescent="0.25">
      <c r="B906" s="298"/>
      <c r="F906" s="277"/>
    </row>
    <row r="907" spans="1:6" x14ac:dyDescent="0.25">
      <c r="B907" s="299"/>
    </row>
    <row r="908" spans="1:6" x14ac:dyDescent="0.25">
      <c r="B908" s="347"/>
      <c r="F908" s="277"/>
    </row>
    <row r="909" spans="1:6" ht="15.75" thickBot="1" x14ac:dyDescent="0.3">
      <c r="A909" s="264"/>
      <c r="B909" s="265"/>
      <c r="C909" s="266"/>
      <c r="D909" s="266"/>
      <c r="E909" s="267"/>
      <c r="F909" s="268"/>
    </row>
    <row r="910" spans="1:6" x14ac:dyDescent="0.25">
      <c r="B910" s="347"/>
      <c r="F910" s="277"/>
    </row>
    <row r="911" spans="1:6" x14ac:dyDescent="0.25">
      <c r="B911" s="276"/>
      <c r="F911" s="277"/>
    </row>
    <row r="912" spans="1:6" x14ac:dyDescent="0.25">
      <c r="F912" s="277"/>
    </row>
    <row r="913" spans="2:6" x14ac:dyDescent="0.25">
      <c r="B913" s="276"/>
      <c r="F913" s="277"/>
    </row>
    <row r="914" spans="2:6" x14ac:dyDescent="0.25">
      <c r="B914" s="347"/>
      <c r="F914" s="277"/>
    </row>
    <row r="915" spans="2:6" x14ac:dyDescent="0.25">
      <c r="B915" s="347"/>
      <c r="F915" s="277"/>
    </row>
    <row r="916" spans="2:6" x14ac:dyDescent="0.25">
      <c r="B916" s="347"/>
      <c r="F916" s="277"/>
    </row>
    <row r="917" spans="2:6" x14ac:dyDescent="0.25">
      <c r="B917" s="347"/>
      <c r="F917" s="277"/>
    </row>
    <row r="918" spans="2:6" x14ac:dyDescent="0.25">
      <c r="B918" s="347"/>
      <c r="F918" s="277"/>
    </row>
    <row r="919" spans="2:6" x14ac:dyDescent="0.25">
      <c r="B919" s="347"/>
      <c r="F919" s="277"/>
    </row>
    <row r="920" spans="2:6" x14ac:dyDescent="0.25">
      <c r="B920" s="347"/>
      <c r="F920" s="277"/>
    </row>
    <row r="921" spans="2:6" x14ac:dyDescent="0.25">
      <c r="B921" s="347"/>
      <c r="F921" s="277"/>
    </row>
    <row r="922" spans="2:6" x14ac:dyDescent="0.25">
      <c r="B922" s="347"/>
      <c r="F922" s="277"/>
    </row>
    <row r="923" spans="2:6" x14ac:dyDescent="0.25">
      <c r="B923" s="347"/>
      <c r="F923" s="277"/>
    </row>
    <row r="924" spans="2:6" x14ac:dyDescent="0.25">
      <c r="B924" s="347"/>
      <c r="F924" s="277"/>
    </row>
    <row r="925" spans="2:6" x14ac:dyDescent="0.25">
      <c r="B925" s="347"/>
      <c r="F925" s="277"/>
    </row>
    <row r="926" spans="2:6" x14ac:dyDescent="0.25">
      <c r="B926" s="347"/>
      <c r="F926" s="277"/>
    </row>
    <row r="927" spans="2:6" x14ac:dyDescent="0.25">
      <c r="B927" s="347"/>
      <c r="F927" s="277"/>
    </row>
    <row r="928" spans="2:6" x14ac:dyDescent="0.25">
      <c r="B928" s="347"/>
      <c r="F928" s="277"/>
    </row>
    <row r="929" spans="1:6" x14ac:dyDescent="0.25">
      <c r="B929" s="347"/>
      <c r="F929" s="277"/>
    </row>
    <row r="930" spans="1:6" x14ac:dyDescent="0.25">
      <c r="B930" s="347"/>
      <c r="F930" s="277"/>
    </row>
    <row r="931" spans="1:6" x14ac:dyDescent="0.25">
      <c r="B931" s="347"/>
      <c r="F931" s="277"/>
    </row>
    <row r="932" spans="1:6" x14ac:dyDescent="0.25">
      <c r="B932" s="347"/>
      <c r="F932" s="277"/>
    </row>
    <row r="933" spans="1:6" x14ac:dyDescent="0.25">
      <c r="B933" s="347"/>
      <c r="F933" s="277"/>
    </row>
    <row r="934" spans="1:6" ht="15.75" thickBot="1" x14ac:dyDescent="0.3">
      <c r="A934" s="264"/>
      <c r="B934" s="300"/>
      <c r="C934" s="266"/>
      <c r="D934" s="266"/>
      <c r="E934" s="267"/>
      <c r="F934" s="268"/>
    </row>
    <row r="935" spans="1:6" x14ac:dyDescent="0.25">
      <c r="A935" s="251"/>
      <c r="B935" s="252"/>
      <c r="C935" s="253"/>
      <c r="D935" s="253"/>
      <c r="E935" s="254"/>
      <c r="F935" s="255"/>
    </row>
    <row r="937" spans="1:6" x14ac:dyDescent="0.25">
      <c r="B937" s="257"/>
    </row>
    <row r="939" spans="1:6" x14ac:dyDescent="0.25">
      <c r="B939" s="257"/>
    </row>
    <row r="940" spans="1:6" x14ac:dyDescent="0.25">
      <c r="A940" s="271"/>
      <c r="B940" s="259"/>
      <c r="C940" s="289"/>
      <c r="D940" s="289"/>
      <c r="E940" s="290"/>
      <c r="F940" s="291"/>
    </row>
    <row r="941" spans="1:6" x14ac:dyDescent="0.25">
      <c r="A941" s="271"/>
      <c r="B941" s="257"/>
      <c r="C941" s="289"/>
      <c r="D941" s="289"/>
      <c r="E941" s="290"/>
      <c r="F941" s="291"/>
    </row>
    <row r="942" spans="1:6" x14ac:dyDescent="0.25">
      <c r="A942" s="271"/>
      <c r="B942" s="259"/>
      <c r="C942" s="289"/>
      <c r="D942" s="289"/>
      <c r="E942" s="290"/>
      <c r="F942" s="291"/>
    </row>
    <row r="943" spans="1:6" x14ac:dyDescent="0.25">
      <c r="A943" s="271"/>
      <c r="B943" s="269"/>
      <c r="C943" s="289"/>
      <c r="D943" s="289"/>
      <c r="E943" s="290"/>
      <c r="F943" s="291"/>
    </row>
    <row r="945" spans="1:6" x14ac:dyDescent="0.25">
      <c r="C945" s="364"/>
    </row>
    <row r="947" spans="1:6" x14ac:dyDescent="0.25">
      <c r="B947" s="257"/>
    </row>
    <row r="949" spans="1:6" x14ac:dyDescent="0.25">
      <c r="B949" s="269"/>
    </row>
    <row r="950" spans="1:6" x14ac:dyDescent="0.25">
      <c r="D950" s="289"/>
      <c r="E950" s="290"/>
    </row>
    <row r="951" spans="1:6" x14ac:dyDescent="0.25">
      <c r="C951" s="364"/>
    </row>
    <row r="953" spans="1:6" x14ac:dyDescent="0.25">
      <c r="C953" s="364"/>
    </row>
    <row r="960" spans="1:6" x14ac:dyDescent="0.25">
      <c r="A960" s="271"/>
      <c r="B960" s="259"/>
      <c r="C960" s="289"/>
      <c r="D960" s="289"/>
      <c r="E960" s="290"/>
      <c r="F960" s="291"/>
    </row>
    <row r="961" spans="1:6" x14ac:dyDescent="0.25">
      <c r="A961" s="271"/>
      <c r="B961" s="259"/>
      <c r="C961" s="289"/>
      <c r="D961" s="289"/>
      <c r="E961" s="290"/>
      <c r="F961" s="291"/>
    </row>
    <row r="962" spans="1:6" x14ac:dyDescent="0.25">
      <c r="A962" s="271"/>
      <c r="B962" s="259"/>
      <c r="C962" s="289"/>
      <c r="D962" s="289"/>
      <c r="E962" s="290"/>
      <c r="F962" s="291"/>
    </row>
    <row r="963" spans="1:6" x14ac:dyDescent="0.25">
      <c r="A963" s="271"/>
      <c r="B963" s="259"/>
      <c r="C963" s="289"/>
      <c r="D963" s="289"/>
      <c r="E963" s="290"/>
      <c r="F963" s="291"/>
    </row>
    <row r="974" spans="1:6" ht="15.75" thickBot="1" x14ac:dyDescent="0.3">
      <c r="A974" s="264"/>
      <c r="B974" s="300"/>
      <c r="C974" s="266"/>
      <c r="D974" s="266"/>
      <c r="E974" s="267"/>
      <c r="F974" s="268"/>
    </row>
    <row r="975" spans="1:6" x14ac:dyDescent="0.25">
      <c r="A975" s="251"/>
      <c r="B975" s="252"/>
      <c r="C975" s="253"/>
      <c r="D975" s="253"/>
      <c r="E975" s="254"/>
      <c r="F975" s="255"/>
    </row>
    <row r="977" spans="1:6" x14ac:dyDescent="0.25">
      <c r="B977" s="257"/>
    </row>
    <row r="979" spans="1:6" x14ac:dyDescent="0.25">
      <c r="B979" s="257"/>
    </row>
    <row r="981" spans="1:6" x14ac:dyDescent="0.25">
      <c r="B981" s="257"/>
    </row>
    <row r="983" spans="1:6" x14ac:dyDescent="0.25">
      <c r="B983" s="262"/>
    </row>
    <row r="985" spans="1:6" x14ac:dyDescent="0.25">
      <c r="B985" s="269"/>
    </row>
    <row r="987" spans="1:6" x14ac:dyDescent="0.25">
      <c r="B987" s="302"/>
    </row>
    <row r="988" spans="1:6" x14ac:dyDescent="0.25">
      <c r="B988" s="302"/>
    </row>
    <row r="989" spans="1:6" s="99" customFormat="1" ht="12.75" x14ac:dyDescent="0.2">
      <c r="A989" s="256"/>
      <c r="B989" s="153"/>
      <c r="E989" s="258"/>
      <c r="F989" s="118"/>
    </row>
    <row r="990" spans="1:6" s="99" customFormat="1" ht="12.75" x14ac:dyDescent="0.25">
      <c r="A990" s="256"/>
      <c r="B990" s="303"/>
      <c r="E990" s="258"/>
      <c r="F990" s="118"/>
    </row>
    <row r="991" spans="1:6" s="99" customFormat="1" ht="12.75" x14ac:dyDescent="0.2">
      <c r="A991" s="256"/>
      <c r="B991" s="153"/>
      <c r="E991" s="258"/>
      <c r="F991" s="118"/>
    </row>
    <row r="992" spans="1:6" s="99" customFormat="1" ht="12.75" x14ac:dyDescent="0.2">
      <c r="A992" s="256"/>
      <c r="B992" s="260"/>
      <c r="E992" s="258"/>
      <c r="F992" s="118"/>
    </row>
    <row r="993" spans="1:6" s="99" customFormat="1" ht="12.75" x14ac:dyDescent="0.2">
      <c r="A993" s="256"/>
      <c r="B993" s="153"/>
      <c r="E993" s="258"/>
      <c r="F993" s="118"/>
    </row>
    <row r="994" spans="1:6" s="99" customFormat="1" ht="12.75" x14ac:dyDescent="0.2">
      <c r="A994" s="256"/>
      <c r="B994" s="260"/>
      <c r="E994" s="258"/>
      <c r="F994" s="118"/>
    </row>
    <row r="995" spans="1:6" s="99" customFormat="1" ht="12.75" x14ac:dyDescent="0.2">
      <c r="A995" s="256"/>
      <c r="B995" s="153"/>
      <c r="E995" s="258"/>
      <c r="F995" s="118"/>
    </row>
    <row r="996" spans="1:6" s="99" customFormat="1" ht="12.75" x14ac:dyDescent="0.2">
      <c r="A996" s="256"/>
      <c r="B996" s="260"/>
      <c r="E996" s="258"/>
      <c r="F996" s="118"/>
    </row>
    <row r="997" spans="1:6" s="99" customFormat="1" ht="12.75" x14ac:dyDescent="0.2">
      <c r="A997" s="256"/>
      <c r="B997" s="153"/>
      <c r="E997" s="258"/>
      <c r="F997" s="118"/>
    </row>
    <row r="998" spans="1:6" s="99" customFormat="1" ht="12.75" x14ac:dyDescent="0.2">
      <c r="A998" s="256"/>
      <c r="B998" s="260"/>
      <c r="E998" s="258"/>
      <c r="F998" s="118"/>
    </row>
    <row r="999" spans="1:6" s="99" customFormat="1" ht="12.75" x14ac:dyDescent="0.2">
      <c r="A999" s="256"/>
      <c r="B999" s="261"/>
      <c r="E999" s="258"/>
      <c r="F999" s="118"/>
    </row>
    <row r="1000" spans="1:6" s="99" customFormat="1" ht="12.75" x14ac:dyDescent="0.2">
      <c r="A1000" s="256"/>
      <c r="B1000" s="261"/>
      <c r="E1000" s="258"/>
      <c r="F1000" s="118"/>
    </row>
    <row r="1001" spans="1:6" s="99" customFormat="1" ht="12.75" x14ac:dyDescent="0.2">
      <c r="A1001" s="256"/>
      <c r="B1001" s="260"/>
      <c r="E1001" s="258"/>
      <c r="F1001" s="118"/>
    </row>
    <row r="1007" spans="1:6" ht="15.75" thickBot="1" x14ac:dyDescent="0.3">
      <c r="A1007" s="264"/>
      <c r="B1007" s="265"/>
      <c r="C1007" s="266"/>
      <c r="D1007" s="266"/>
      <c r="E1007" s="267"/>
      <c r="F1007" s="268"/>
    </row>
    <row r="1008" spans="1:6" x14ac:dyDescent="0.25">
      <c r="A1008" s="251"/>
      <c r="B1008" s="252"/>
      <c r="C1008" s="253"/>
      <c r="D1008" s="253"/>
      <c r="E1008" s="254"/>
      <c r="F1008" s="255"/>
    </row>
    <row r="1010" spans="1:6" x14ac:dyDescent="0.25">
      <c r="A1010" s="304"/>
      <c r="B1010" s="305"/>
      <c r="C1010" s="306"/>
      <c r="D1010" s="306"/>
      <c r="E1010" s="307"/>
      <c r="F1010" s="308"/>
    </row>
    <row r="1011" spans="1:6" x14ac:dyDescent="0.25">
      <c r="A1011" s="304"/>
      <c r="B1011" s="309"/>
      <c r="C1011" s="306"/>
      <c r="D1011" s="306"/>
      <c r="E1011" s="307"/>
      <c r="F1011" s="308"/>
    </row>
    <row r="1012" spans="1:6" x14ac:dyDescent="0.25">
      <c r="A1012" s="310"/>
      <c r="B1012" s="303"/>
      <c r="C1012" s="311"/>
      <c r="D1012" s="311"/>
      <c r="E1012" s="312"/>
      <c r="F1012" s="313"/>
    </row>
    <row r="1014" spans="1:6" x14ac:dyDescent="0.25">
      <c r="B1014" s="269"/>
    </row>
    <row r="1015" spans="1:6" x14ac:dyDescent="0.25">
      <c r="B1015" s="314"/>
    </row>
    <row r="1016" spans="1:6" x14ac:dyDescent="0.25">
      <c r="B1016" s="123"/>
    </row>
    <row r="1018" spans="1:6" x14ac:dyDescent="0.25">
      <c r="B1018" s="257"/>
    </row>
    <row r="1020" spans="1:6" x14ac:dyDescent="0.25">
      <c r="A1020" s="310"/>
      <c r="B1020" s="153"/>
      <c r="C1020" s="311"/>
      <c r="D1020" s="311"/>
      <c r="E1020" s="312"/>
      <c r="F1020" s="313"/>
    </row>
    <row r="1024" spans="1:6" x14ac:dyDescent="0.25">
      <c r="A1024" s="310"/>
      <c r="B1024" s="261"/>
      <c r="C1024" s="311"/>
      <c r="D1024" s="311"/>
      <c r="E1024" s="311"/>
      <c r="F1024" s="313"/>
    </row>
    <row r="1025" spans="1:6" x14ac:dyDescent="0.25">
      <c r="A1025" s="310"/>
      <c r="B1025" s="261"/>
      <c r="C1025" s="311"/>
      <c r="D1025" s="311"/>
      <c r="E1025" s="311"/>
      <c r="F1025" s="313"/>
    </row>
    <row r="1026" spans="1:6" x14ac:dyDescent="0.25">
      <c r="A1026" s="310"/>
      <c r="B1026" s="261"/>
      <c r="C1026" s="311"/>
      <c r="D1026" s="311"/>
      <c r="E1026" s="311"/>
      <c r="F1026" s="313"/>
    </row>
    <row r="1027" spans="1:6" x14ac:dyDescent="0.25">
      <c r="A1027" s="310"/>
      <c r="B1027" s="260"/>
      <c r="C1027" s="311"/>
      <c r="D1027" s="311"/>
      <c r="E1027" s="311"/>
      <c r="F1027" s="313"/>
    </row>
    <row r="1028" spans="1:6" x14ac:dyDescent="0.25">
      <c r="A1028" s="310"/>
      <c r="B1028" s="260"/>
      <c r="C1028" s="311"/>
      <c r="D1028" s="311"/>
      <c r="E1028" s="311"/>
      <c r="F1028" s="313"/>
    </row>
    <row r="1029" spans="1:6" x14ac:dyDescent="0.25">
      <c r="A1029" s="310"/>
      <c r="B1029" s="260"/>
      <c r="C1029" s="311"/>
      <c r="D1029" s="311"/>
      <c r="E1029" s="311"/>
      <c r="F1029" s="313"/>
    </row>
    <row r="1030" spans="1:6" x14ac:dyDescent="0.25">
      <c r="A1030" s="310"/>
      <c r="B1030" s="260"/>
      <c r="C1030" s="311"/>
      <c r="D1030" s="311"/>
      <c r="E1030" s="311"/>
      <c r="F1030" s="313"/>
    </row>
    <row r="1031" spans="1:6" x14ac:dyDescent="0.25">
      <c r="B1031" s="314"/>
    </row>
    <row r="1032" spans="1:6" ht="15.75" thickBot="1" x14ac:dyDescent="0.3">
      <c r="A1032" s="264"/>
      <c r="B1032" s="265"/>
      <c r="C1032" s="266"/>
      <c r="D1032" s="266"/>
      <c r="E1032" s="267"/>
      <c r="F1032" s="268"/>
    </row>
    <row r="1034" spans="1:6" x14ac:dyDescent="0.25">
      <c r="B1034" s="276"/>
      <c r="F1034" s="277"/>
    </row>
    <row r="1035" spans="1:6" x14ac:dyDescent="0.25">
      <c r="F1035" s="277"/>
    </row>
    <row r="1036" spans="1:6" x14ac:dyDescent="0.25">
      <c r="B1036" s="276"/>
      <c r="F1036" s="277"/>
    </row>
    <row r="1043" spans="1:6" ht="15.75" thickBot="1" x14ac:dyDescent="0.3">
      <c r="A1043" s="264"/>
      <c r="B1043" s="300"/>
      <c r="C1043" s="266"/>
      <c r="D1043" s="266"/>
      <c r="E1043" s="267"/>
      <c r="F1043" s="268"/>
    </row>
    <row r="1044" spans="1:6" x14ac:dyDescent="0.25">
      <c r="A1044" s="251"/>
      <c r="B1044" s="252"/>
      <c r="C1044" s="253"/>
      <c r="D1044" s="253"/>
      <c r="E1044" s="254"/>
      <c r="F1044" s="255"/>
    </row>
    <row r="1045" spans="1:6" x14ac:dyDescent="0.25">
      <c r="B1045" s="275"/>
    </row>
    <row r="1046" spans="1:6" x14ac:dyDescent="0.25">
      <c r="B1046" s="257"/>
    </row>
    <row r="1048" spans="1:6" x14ac:dyDescent="0.25">
      <c r="B1048" s="257"/>
    </row>
    <row r="1050" spans="1:6" x14ac:dyDescent="0.25">
      <c r="B1050" s="320"/>
    </row>
    <row r="1051" spans="1:6" x14ac:dyDescent="0.25">
      <c r="B1051" s="275"/>
    </row>
    <row r="1052" spans="1:6" x14ac:dyDescent="0.25">
      <c r="B1052" s="269"/>
    </row>
    <row r="1053" spans="1:6" s="118" customFormat="1" ht="12.75" x14ac:dyDescent="0.25">
      <c r="A1053" s="256"/>
      <c r="B1053" s="275"/>
      <c r="C1053" s="99"/>
      <c r="D1053" s="99"/>
      <c r="E1053" s="258"/>
    </row>
    <row r="1054" spans="1:6" s="118" customFormat="1" ht="12.75" x14ac:dyDescent="0.2">
      <c r="A1054" s="256"/>
      <c r="B1054" s="365"/>
      <c r="C1054" s="99"/>
      <c r="D1054" s="99"/>
      <c r="E1054" s="258"/>
    </row>
    <row r="1055" spans="1:6" s="118" customFormat="1" ht="12.75" x14ac:dyDescent="0.25">
      <c r="A1055" s="256"/>
      <c r="B1055" s="299"/>
      <c r="C1055" s="99"/>
      <c r="D1055" s="99"/>
      <c r="E1055" s="258"/>
    </row>
    <row r="1056" spans="1:6" s="118" customFormat="1" ht="12.75" x14ac:dyDescent="0.2">
      <c r="A1056" s="256"/>
      <c r="B1056" s="365"/>
      <c r="C1056" s="99"/>
      <c r="D1056" s="99"/>
      <c r="E1056" s="258"/>
    </row>
    <row r="1057" spans="1:5" s="118" customFormat="1" ht="12.75" x14ac:dyDescent="0.25">
      <c r="A1057" s="256"/>
      <c r="B1057" s="299"/>
      <c r="C1057" s="99"/>
      <c r="D1057" s="99"/>
      <c r="E1057" s="258"/>
    </row>
    <row r="1058" spans="1:5" s="118" customFormat="1" ht="12.75" x14ac:dyDescent="0.2">
      <c r="A1058" s="256"/>
      <c r="B1058" s="269"/>
      <c r="C1058" s="99"/>
      <c r="D1058" s="99"/>
      <c r="E1058" s="258"/>
    </row>
    <row r="1059" spans="1:5" s="118" customFormat="1" ht="12.75" x14ac:dyDescent="0.25">
      <c r="A1059" s="256"/>
      <c r="B1059" s="299"/>
      <c r="C1059" s="99"/>
      <c r="D1059" s="99"/>
      <c r="E1059" s="258"/>
    </row>
    <row r="1060" spans="1:5" s="118" customFormat="1" ht="12.75" x14ac:dyDescent="0.2">
      <c r="A1060" s="256"/>
      <c r="B1060" s="123"/>
      <c r="C1060" s="311"/>
      <c r="D1060" s="311"/>
      <c r="E1060" s="312"/>
    </row>
    <row r="1061" spans="1:5" s="118" customFormat="1" ht="12.75" x14ac:dyDescent="0.25">
      <c r="A1061" s="256"/>
      <c r="B1061" s="299"/>
      <c r="C1061" s="99"/>
      <c r="D1061" s="99"/>
      <c r="E1061" s="258"/>
    </row>
    <row r="1062" spans="1:5" s="118" customFormat="1" ht="12.75" x14ac:dyDescent="0.2">
      <c r="A1062" s="310"/>
      <c r="B1062" s="260"/>
      <c r="C1062" s="311"/>
      <c r="D1062" s="311"/>
      <c r="E1062" s="312"/>
    </row>
    <row r="1063" spans="1:5" s="118" customFormat="1" ht="12.75" x14ac:dyDescent="0.25">
      <c r="A1063" s="256"/>
      <c r="B1063" s="366"/>
      <c r="C1063" s="99"/>
      <c r="D1063" s="99"/>
      <c r="E1063" s="258"/>
    </row>
    <row r="1064" spans="1:5" s="118" customFormat="1" ht="12.75" x14ac:dyDescent="0.2">
      <c r="A1064" s="256"/>
      <c r="B1064" s="123"/>
      <c r="C1064" s="311"/>
      <c r="D1064" s="311"/>
      <c r="E1064" s="312"/>
    </row>
    <row r="1065" spans="1:5" s="118" customFormat="1" ht="12.75" x14ac:dyDescent="0.25">
      <c r="A1065" s="256"/>
      <c r="B1065" s="299"/>
      <c r="C1065" s="99"/>
      <c r="D1065" s="99"/>
      <c r="E1065" s="258"/>
    </row>
    <row r="1066" spans="1:5" s="118" customFormat="1" ht="12.75" x14ac:dyDescent="0.2">
      <c r="A1066" s="310"/>
      <c r="B1066" s="123"/>
      <c r="C1066" s="311"/>
      <c r="D1066" s="311"/>
      <c r="E1066" s="312"/>
    </row>
    <row r="1067" spans="1:5" s="118" customFormat="1" ht="12.75" x14ac:dyDescent="0.2">
      <c r="A1067" s="310"/>
      <c r="B1067" s="261"/>
      <c r="C1067" s="311"/>
      <c r="D1067" s="311"/>
      <c r="E1067" s="312"/>
    </row>
    <row r="1068" spans="1:5" s="118" customFormat="1" ht="12.75" x14ac:dyDescent="0.2">
      <c r="A1068" s="256"/>
      <c r="B1068" s="269"/>
      <c r="C1068" s="99"/>
      <c r="D1068" s="99"/>
      <c r="E1068" s="258"/>
    </row>
    <row r="1069" spans="1:5" s="118" customFormat="1" ht="12.75" x14ac:dyDescent="0.25">
      <c r="A1069" s="256"/>
      <c r="B1069" s="321"/>
      <c r="C1069" s="99"/>
      <c r="D1069" s="99"/>
      <c r="E1069" s="258"/>
    </row>
    <row r="1070" spans="1:5" s="118" customFormat="1" ht="12.75" x14ac:dyDescent="0.2">
      <c r="A1070" s="256"/>
      <c r="B1070" s="123"/>
      <c r="C1070" s="99"/>
      <c r="D1070" s="99"/>
      <c r="E1070" s="258"/>
    </row>
    <row r="1072" spans="1:5" s="118" customFormat="1" ht="12.75" x14ac:dyDescent="0.2">
      <c r="A1072" s="256"/>
      <c r="B1072" s="269"/>
      <c r="C1072" s="99"/>
      <c r="D1072" s="99"/>
      <c r="E1072" s="258"/>
    </row>
    <row r="1074" spans="1:6" s="118" customFormat="1" ht="12.75" x14ac:dyDescent="0.2">
      <c r="A1074" s="256"/>
      <c r="B1074" s="123"/>
      <c r="C1074" s="99"/>
      <c r="D1074" s="99"/>
      <c r="E1074" s="258"/>
    </row>
    <row r="1076" spans="1:6" x14ac:dyDescent="0.25">
      <c r="B1076" s="123"/>
    </row>
    <row r="1078" spans="1:6" x14ac:dyDescent="0.25">
      <c r="A1078" s="310"/>
      <c r="B1078" s="261"/>
      <c r="C1078" s="311"/>
      <c r="D1078" s="311"/>
      <c r="E1078" s="322"/>
      <c r="F1078" s="313"/>
    </row>
    <row r="1079" spans="1:6" x14ac:dyDescent="0.25">
      <c r="A1079" s="310"/>
      <c r="B1079" s="287"/>
      <c r="C1079" s="311"/>
      <c r="D1079" s="311"/>
      <c r="E1079" s="322"/>
      <c r="F1079" s="313"/>
    </row>
    <row r="1080" spans="1:6" x14ac:dyDescent="0.25">
      <c r="A1080" s="310"/>
      <c r="B1080" s="262"/>
      <c r="C1080" s="311"/>
      <c r="D1080" s="311"/>
      <c r="E1080" s="322"/>
      <c r="F1080" s="313"/>
    </row>
    <row r="1082" spans="1:6" ht="15.75" thickBot="1" x14ac:dyDescent="0.3">
      <c r="A1082" s="264"/>
      <c r="B1082" s="265"/>
      <c r="C1082" s="266"/>
      <c r="D1082" s="266"/>
      <c r="E1082" s="267"/>
      <c r="F1082" s="268"/>
    </row>
    <row r="1083" spans="1:6" x14ac:dyDescent="0.25">
      <c r="A1083" s="251"/>
      <c r="B1083" s="252"/>
      <c r="C1083" s="253"/>
      <c r="D1083" s="253"/>
      <c r="E1083" s="254"/>
      <c r="F1083" s="255"/>
    </row>
    <row r="1085" spans="1:6" x14ac:dyDescent="0.25">
      <c r="B1085" s="269"/>
    </row>
    <row r="1087" spans="1:6" x14ac:dyDescent="0.25">
      <c r="B1087" s="123"/>
    </row>
    <row r="1089" spans="1:6" x14ac:dyDescent="0.25">
      <c r="B1089" s="123"/>
    </row>
    <row r="1091" spans="1:6" x14ac:dyDescent="0.25">
      <c r="B1091" s="260"/>
    </row>
    <row r="1093" spans="1:6" x14ac:dyDescent="0.25">
      <c r="B1093" s="262"/>
    </row>
    <row r="1095" spans="1:6" ht="15.75" thickBot="1" x14ac:dyDescent="0.3">
      <c r="A1095" s="264"/>
      <c r="B1095" s="265"/>
      <c r="C1095" s="266"/>
      <c r="D1095" s="266"/>
      <c r="E1095" s="267"/>
      <c r="F1095" s="268"/>
    </row>
    <row r="1096" spans="1:6" x14ac:dyDescent="0.25">
      <c r="B1096" s="317"/>
    </row>
    <row r="1097" spans="1:6" x14ac:dyDescent="0.25">
      <c r="B1097" s="276"/>
      <c r="F1097" s="277"/>
    </row>
    <row r="1098" spans="1:6" x14ac:dyDescent="0.25">
      <c r="F1098" s="277"/>
    </row>
    <row r="1099" spans="1:6" x14ac:dyDescent="0.25">
      <c r="B1099" s="276"/>
      <c r="F1099" s="277"/>
    </row>
    <row r="1106" spans="1:6" s="99" customFormat="1" ht="12.75" x14ac:dyDescent="0.2">
      <c r="A1106" s="256"/>
      <c r="B1106" s="260"/>
      <c r="E1106" s="258"/>
      <c r="F1106" s="118"/>
    </row>
    <row r="1107" spans="1:6" s="99" customFormat="1" ht="12.75" x14ac:dyDescent="0.2">
      <c r="A1107" s="256"/>
      <c r="B1107" s="262"/>
      <c r="E1107" s="258"/>
      <c r="F1107" s="118"/>
    </row>
    <row r="1108" spans="1:6" s="99" customFormat="1" ht="12.75" x14ac:dyDescent="0.2">
      <c r="A1108" s="256"/>
      <c r="B1108" s="262"/>
      <c r="E1108" s="258"/>
      <c r="F1108" s="118"/>
    </row>
    <row r="1109" spans="1:6" s="99" customFormat="1" ht="12.75" x14ac:dyDescent="0.2">
      <c r="A1109" s="256"/>
      <c r="B1109" s="262"/>
      <c r="E1109" s="258"/>
      <c r="F1109" s="118"/>
    </row>
    <row r="1110" spans="1:6" s="99" customFormat="1" ht="12.75" x14ac:dyDescent="0.2">
      <c r="A1110" s="256"/>
      <c r="B1110" s="262"/>
      <c r="E1110" s="258"/>
      <c r="F1110" s="118"/>
    </row>
    <row r="1111" spans="1:6" s="99" customFormat="1" ht="12.75" x14ac:dyDescent="0.2">
      <c r="A1111" s="256"/>
      <c r="B1111" s="262"/>
      <c r="E1111" s="258"/>
      <c r="F1111" s="118"/>
    </row>
    <row r="1112" spans="1:6" s="99" customFormat="1" ht="12.75" x14ac:dyDescent="0.2">
      <c r="A1112" s="256"/>
      <c r="B1112" s="262"/>
      <c r="E1112" s="258"/>
      <c r="F1112" s="118"/>
    </row>
    <row r="1113" spans="1:6" s="99" customFormat="1" ht="12.75" x14ac:dyDescent="0.2">
      <c r="A1113" s="256"/>
      <c r="B1113" s="262"/>
      <c r="E1113" s="258"/>
      <c r="F1113" s="118"/>
    </row>
    <row r="1114" spans="1:6" s="99" customFormat="1" ht="12.75" x14ac:dyDescent="0.2">
      <c r="A1114" s="256"/>
      <c r="B1114" s="262"/>
      <c r="E1114" s="258"/>
      <c r="F1114" s="118"/>
    </row>
    <row r="1115" spans="1:6" s="99" customFormat="1" ht="12.75" x14ac:dyDescent="0.2">
      <c r="A1115" s="256"/>
      <c r="B1115" s="262"/>
      <c r="E1115" s="258"/>
      <c r="F1115" s="118"/>
    </row>
    <row r="1116" spans="1:6" x14ac:dyDescent="0.25">
      <c r="B1116" s="262"/>
    </row>
    <row r="1117" spans="1:6" x14ac:dyDescent="0.25">
      <c r="B1117" s="262"/>
    </row>
    <row r="1118" spans="1:6" x14ac:dyDescent="0.25">
      <c r="B1118" s="262"/>
    </row>
    <row r="1119" spans="1:6" x14ac:dyDescent="0.25">
      <c r="B1119" s="262"/>
    </row>
    <row r="1120" spans="1:6" x14ac:dyDescent="0.25">
      <c r="B1120" s="262"/>
    </row>
    <row r="1121" spans="1:6" x14ac:dyDescent="0.25">
      <c r="B1121" s="262"/>
    </row>
    <row r="1122" spans="1:6" x14ac:dyDescent="0.25">
      <c r="B1122" s="319"/>
    </row>
    <row r="1123" spans="1:6" ht="15.75" thickBot="1" x14ac:dyDescent="0.3">
      <c r="A1123" s="264"/>
      <c r="B1123" s="300"/>
      <c r="C1123" s="266"/>
      <c r="D1123" s="266"/>
      <c r="E1123" s="267"/>
      <c r="F1123" s="268"/>
    </row>
    <row r="1124" spans="1:6" x14ac:dyDescent="0.25">
      <c r="A1124" s="251"/>
      <c r="B1124" s="252"/>
      <c r="C1124" s="253"/>
      <c r="D1124" s="253"/>
      <c r="E1124" s="254"/>
      <c r="F1124" s="255"/>
    </row>
    <row r="1126" spans="1:6" x14ac:dyDescent="0.25">
      <c r="B1126" s="305"/>
    </row>
    <row r="1127" spans="1:6" x14ac:dyDescent="0.25">
      <c r="B1127" s="279"/>
    </row>
    <row r="1128" spans="1:6" x14ac:dyDescent="0.25">
      <c r="B1128" s="270"/>
    </row>
    <row r="1129" spans="1:6" x14ac:dyDescent="0.25">
      <c r="B1129" s="323"/>
    </row>
    <row r="1130" spans="1:6" x14ac:dyDescent="0.25">
      <c r="B1130" s="261"/>
    </row>
    <row r="1131" spans="1:6" x14ac:dyDescent="0.25">
      <c r="B1131" s="260"/>
    </row>
    <row r="1132" spans="1:6" x14ac:dyDescent="0.25">
      <c r="B1132" s="269"/>
      <c r="F1132" s="291"/>
    </row>
    <row r="1133" spans="1:6" s="118" customFormat="1" ht="12.75" x14ac:dyDescent="0.2">
      <c r="A1133" s="256"/>
      <c r="B1133" s="261"/>
      <c r="C1133" s="99"/>
      <c r="D1133" s="99"/>
      <c r="E1133" s="258"/>
    </row>
    <row r="1134" spans="1:6" s="118" customFormat="1" ht="12.75" x14ac:dyDescent="0.2">
      <c r="A1134" s="256"/>
      <c r="B1134" s="295"/>
      <c r="C1134" s="99"/>
      <c r="D1134" s="99"/>
      <c r="E1134" s="258"/>
    </row>
    <row r="1135" spans="1:6" s="118" customFormat="1" ht="12.75" x14ac:dyDescent="0.2">
      <c r="A1135" s="256"/>
      <c r="B1135" s="260"/>
      <c r="C1135" s="99"/>
      <c r="D1135" s="99"/>
      <c r="E1135" s="258"/>
    </row>
    <row r="1136" spans="1:6" s="118" customFormat="1" ht="12.75" x14ac:dyDescent="0.2">
      <c r="A1136" s="256"/>
      <c r="B1136" s="269"/>
      <c r="C1136" s="99"/>
      <c r="D1136" s="99"/>
      <c r="E1136" s="258"/>
    </row>
    <row r="1137" spans="1:5" s="118" customFormat="1" ht="12.75" x14ac:dyDescent="0.2">
      <c r="A1137" s="256"/>
      <c r="B1137" s="319"/>
      <c r="C1137" s="99"/>
      <c r="D1137" s="99"/>
      <c r="E1137" s="258"/>
    </row>
    <row r="1138" spans="1:5" s="118" customFormat="1" ht="12.75" x14ac:dyDescent="0.2">
      <c r="A1138" s="256"/>
      <c r="B1138" s="274"/>
      <c r="C1138" s="99"/>
      <c r="D1138" s="99"/>
      <c r="E1138" s="258"/>
    </row>
    <row r="1139" spans="1:5" s="118" customFormat="1" ht="12.75" x14ac:dyDescent="0.2">
      <c r="A1139" s="256"/>
      <c r="B1139" s="274"/>
      <c r="C1139" s="99"/>
      <c r="D1139" s="99"/>
      <c r="E1139" s="258"/>
    </row>
    <row r="1140" spans="1:5" s="118" customFormat="1" ht="12.75" x14ac:dyDescent="0.25">
      <c r="A1140" s="256"/>
      <c r="B1140" s="324"/>
      <c r="C1140" s="99"/>
      <c r="D1140" s="99"/>
      <c r="E1140" s="258"/>
    </row>
    <row r="1141" spans="1:5" s="118" customFormat="1" x14ac:dyDescent="0.25">
      <c r="A1141" s="271"/>
      <c r="B1141" s="259"/>
      <c r="C1141" s="289"/>
      <c r="D1141" s="289"/>
      <c r="E1141" s="290"/>
    </row>
    <row r="1142" spans="1:5" s="118" customFormat="1" ht="12.75" x14ac:dyDescent="0.2">
      <c r="A1142" s="256"/>
      <c r="B1142" s="270"/>
      <c r="C1142" s="99"/>
      <c r="D1142" s="99"/>
      <c r="E1142" s="258"/>
    </row>
    <row r="1143" spans="1:5" s="118" customFormat="1" ht="12.75" x14ac:dyDescent="0.2">
      <c r="A1143" s="256"/>
      <c r="B1143" s="270"/>
      <c r="C1143" s="99"/>
      <c r="D1143" s="99"/>
      <c r="E1143" s="258"/>
    </row>
    <row r="1144" spans="1:5" s="118" customFormat="1" ht="12.75" x14ac:dyDescent="0.2">
      <c r="A1144" s="256"/>
      <c r="B1144" s="270"/>
      <c r="C1144" s="99"/>
      <c r="D1144" s="99"/>
      <c r="E1144" s="258"/>
    </row>
    <row r="1146" spans="1:5" s="118" customFormat="1" ht="12.75" x14ac:dyDescent="0.2">
      <c r="A1146" s="256"/>
      <c r="B1146" s="269"/>
      <c r="C1146" s="99"/>
      <c r="D1146" s="99"/>
      <c r="E1146" s="258"/>
    </row>
    <row r="1148" spans="1:5" s="118" customFormat="1" ht="12.75" x14ac:dyDescent="0.2">
      <c r="A1148" s="256"/>
      <c r="B1148" s="262"/>
      <c r="C1148" s="99"/>
      <c r="D1148" s="99"/>
      <c r="E1148" s="258"/>
    </row>
    <row r="1150" spans="1:5" x14ac:dyDescent="0.25">
      <c r="B1150" s="269"/>
    </row>
    <row r="1152" spans="1:5" x14ac:dyDescent="0.25">
      <c r="B1152" s="262"/>
    </row>
    <row r="1153" spans="1:6" x14ac:dyDescent="0.25">
      <c r="A1153" s="325"/>
      <c r="B1153" s="326"/>
      <c r="C1153" s="327"/>
      <c r="D1153" s="327"/>
      <c r="E1153" s="328"/>
      <c r="F1153" s="329"/>
    </row>
    <row r="1154" spans="1:6" x14ac:dyDescent="0.25">
      <c r="A1154" s="330"/>
      <c r="B1154" s="261"/>
      <c r="C1154" s="331"/>
      <c r="D1154" s="331"/>
      <c r="E1154" s="332"/>
      <c r="F1154" s="333"/>
    </row>
    <row r="1155" spans="1:6" x14ac:dyDescent="0.25">
      <c r="A1155" s="330"/>
      <c r="B1155" s="261"/>
      <c r="C1155" s="331"/>
      <c r="D1155" s="331"/>
      <c r="E1155" s="332"/>
      <c r="F1155" s="333"/>
    </row>
    <row r="1156" spans="1:6" x14ac:dyDescent="0.25">
      <c r="A1156" s="330"/>
      <c r="B1156" s="261"/>
      <c r="C1156" s="331"/>
      <c r="D1156" s="331"/>
      <c r="E1156" s="332"/>
      <c r="F1156" s="333"/>
    </row>
    <row r="1157" spans="1:6" x14ac:dyDescent="0.25">
      <c r="A1157" s="330"/>
      <c r="B1157" s="260"/>
      <c r="C1157" s="331"/>
      <c r="D1157" s="331"/>
      <c r="E1157" s="332"/>
      <c r="F1157" s="333"/>
    </row>
    <row r="1158" spans="1:6" x14ac:dyDescent="0.25">
      <c r="A1158" s="330"/>
      <c r="B1158" s="260"/>
      <c r="C1158" s="331"/>
      <c r="D1158" s="331"/>
      <c r="E1158" s="334"/>
      <c r="F1158" s="333"/>
    </row>
    <row r="1160" spans="1:6" ht="15.75" thickBot="1" x14ac:dyDescent="0.3">
      <c r="A1160" s="264"/>
      <c r="B1160" s="265"/>
      <c r="C1160" s="266"/>
      <c r="D1160" s="266"/>
      <c r="E1160" s="267"/>
      <c r="F1160" s="268"/>
    </row>
    <row r="1161" spans="1:6" x14ac:dyDescent="0.25">
      <c r="A1161" s="251"/>
      <c r="B1161" s="252"/>
      <c r="C1161" s="253"/>
      <c r="D1161" s="253"/>
      <c r="E1161" s="254"/>
      <c r="F1161" s="255"/>
    </row>
    <row r="1162" spans="1:6" x14ac:dyDescent="0.25">
      <c r="A1162" s="325"/>
      <c r="B1162" s="326"/>
      <c r="C1162" s="327"/>
      <c r="D1162" s="327"/>
      <c r="E1162" s="328"/>
      <c r="F1162" s="329"/>
    </row>
    <row r="1163" spans="1:6" x14ac:dyDescent="0.25">
      <c r="B1163" s="270"/>
    </row>
    <row r="1164" spans="1:6" x14ac:dyDescent="0.25">
      <c r="B1164" s="260"/>
    </row>
    <row r="1165" spans="1:6" x14ac:dyDescent="0.25">
      <c r="B1165" s="270"/>
    </row>
    <row r="1166" spans="1:6" x14ac:dyDescent="0.25">
      <c r="B1166" s="260"/>
    </row>
    <row r="1167" spans="1:6" x14ac:dyDescent="0.25">
      <c r="B1167" s="260"/>
    </row>
    <row r="1168" spans="1:6" x14ac:dyDescent="0.25">
      <c r="B1168" s="288"/>
    </row>
    <row r="1169" spans="1:6" x14ac:dyDescent="0.25">
      <c r="B1169" s="269"/>
    </row>
    <row r="1170" spans="1:6" x14ac:dyDescent="0.25">
      <c r="B1170" s="260"/>
    </row>
    <row r="1171" spans="1:6" x14ac:dyDescent="0.25">
      <c r="B1171" s="260"/>
    </row>
    <row r="1173" spans="1:6" x14ac:dyDescent="0.25">
      <c r="A1173" s="271"/>
      <c r="B1173" s="269"/>
      <c r="C1173" s="289"/>
      <c r="D1173" s="289"/>
      <c r="E1173" s="290"/>
      <c r="F1173" s="291"/>
    </row>
    <row r="1174" spans="1:6" x14ac:dyDescent="0.25">
      <c r="B1174" s="259"/>
      <c r="C1174" s="289"/>
      <c r="D1174" s="289"/>
      <c r="E1174" s="290"/>
      <c r="F1174" s="291"/>
    </row>
    <row r="1175" spans="1:6" x14ac:dyDescent="0.25">
      <c r="B1175" s="123"/>
    </row>
    <row r="1177" spans="1:6" x14ac:dyDescent="0.25">
      <c r="B1177" s="269"/>
    </row>
    <row r="1178" spans="1:6" x14ac:dyDescent="0.25">
      <c r="D1178" s="289"/>
    </row>
    <row r="1179" spans="1:6" x14ac:dyDescent="0.25">
      <c r="B1179" s="123"/>
    </row>
    <row r="1181" spans="1:6" x14ac:dyDescent="0.25">
      <c r="B1181" s="261"/>
    </row>
    <row r="1182" spans="1:6" x14ac:dyDescent="0.25">
      <c r="B1182" s="260"/>
    </row>
    <row r="1183" spans="1:6" x14ac:dyDescent="0.25">
      <c r="B1183" s="270"/>
    </row>
    <row r="1184" spans="1:6" x14ac:dyDescent="0.25">
      <c r="B1184" s="260"/>
    </row>
    <row r="1185" spans="1:6" x14ac:dyDescent="0.25">
      <c r="B1185" s="260"/>
    </row>
    <row r="1186" spans="1:6" x14ac:dyDescent="0.25">
      <c r="B1186" s="260"/>
    </row>
    <row r="1187" spans="1:6" x14ac:dyDescent="0.25">
      <c r="B1187" s="269"/>
    </row>
    <row r="1188" spans="1:6" x14ac:dyDescent="0.25">
      <c r="B1188" s="260"/>
    </row>
    <row r="1189" spans="1:6" x14ac:dyDescent="0.25">
      <c r="B1189" s="260"/>
    </row>
    <row r="1195" spans="1:6" ht="15.75" thickBot="1" x14ac:dyDescent="0.3">
      <c r="A1195" s="264"/>
      <c r="B1195" s="265"/>
      <c r="C1195" s="266"/>
      <c r="D1195" s="266"/>
      <c r="E1195" s="267"/>
      <c r="F1195" s="268"/>
    </row>
    <row r="1196" spans="1:6" x14ac:dyDescent="0.25">
      <c r="A1196" s="251"/>
      <c r="B1196" s="252"/>
      <c r="C1196" s="253"/>
      <c r="D1196" s="253"/>
      <c r="E1196" s="254"/>
      <c r="F1196" s="255"/>
    </row>
    <row r="1197" spans="1:6" x14ac:dyDescent="0.25">
      <c r="A1197" s="310"/>
      <c r="B1197" s="263"/>
      <c r="C1197" s="331"/>
      <c r="D1197" s="331"/>
      <c r="E1197" s="334"/>
      <c r="F1197" s="333"/>
    </row>
    <row r="1198" spans="1:6" x14ac:dyDescent="0.25">
      <c r="B1198" s="276"/>
      <c r="F1198" s="277"/>
    </row>
    <row r="1199" spans="1:6" x14ac:dyDescent="0.25">
      <c r="B1199" s="276"/>
    </row>
    <row r="1200" spans="1:6" x14ac:dyDescent="0.25">
      <c r="B1200" s="276"/>
      <c r="F1200" s="277"/>
    </row>
    <row r="1201" spans="1:6" x14ac:dyDescent="0.25">
      <c r="F1201" s="277"/>
    </row>
    <row r="1202" spans="1:6" x14ac:dyDescent="0.25">
      <c r="B1202" s="276"/>
      <c r="F1202" s="277"/>
    </row>
    <row r="1203" spans="1:6" x14ac:dyDescent="0.25">
      <c r="A1203" s="338"/>
      <c r="B1203" s="274"/>
      <c r="C1203" s="340"/>
      <c r="D1203" s="341"/>
      <c r="E1203" s="312"/>
      <c r="F1203" s="342"/>
    </row>
    <row r="1204" spans="1:6" x14ac:dyDescent="0.25">
      <c r="A1204" s="338"/>
      <c r="B1204" s="270"/>
      <c r="C1204" s="340"/>
      <c r="D1204" s="341"/>
      <c r="E1204" s="312"/>
      <c r="F1204" s="342"/>
    </row>
    <row r="1205" spans="1:6" x14ac:dyDescent="0.25">
      <c r="A1205" s="338"/>
      <c r="B1205" s="274"/>
      <c r="C1205" s="340"/>
      <c r="D1205" s="341"/>
      <c r="E1205" s="312"/>
      <c r="F1205" s="342"/>
    </row>
    <row r="1206" spans="1:6" x14ac:dyDescent="0.25">
      <c r="A1206" s="310"/>
      <c r="B1206" s="260"/>
      <c r="C1206" s="331"/>
      <c r="D1206" s="331"/>
      <c r="E1206" s="334"/>
      <c r="F1206" s="333"/>
    </row>
    <row r="1207" spans="1:6" x14ac:dyDescent="0.25">
      <c r="A1207" s="310"/>
      <c r="B1207" s="260"/>
      <c r="C1207" s="331"/>
      <c r="D1207" s="331"/>
      <c r="E1207" s="334"/>
      <c r="F1207" s="333"/>
    </row>
    <row r="1208" spans="1:6" x14ac:dyDescent="0.25">
      <c r="A1208" s="310"/>
      <c r="B1208" s="260"/>
      <c r="C1208" s="337"/>
      <c r="D1208" s="331"/>
      <c r="E1208" s="334"/>
      <c r="F1208" s="333"/>
    </row>
    <row r="1210" spans="1:6" x14ac:dyDescent="0.25">
      <c r="B1210" s="260"/>
    </row>
    <row r="1211" spans="1:6" x14ac:dyDescent="0.25">
      <c r="B1211" s="276"/>
    </row>
    <row r="1217" spans="1:6" x14ac:dyDescent="0.25">
      <c r="F1217" s="277"/>
    </row>
    <row r="1218" spans="1:6" x14ac:dyDescent="0.25">
      <c r="B1218" s="276"/>
      <c r="F1218" s="277"/>
    </row>
    <row r="1220" spans="1:6" s="118" customFormat="1" ht="12.75" x14ac:dyDescent="0.2">
      <c r="A1220" s="256"/>
      <c r="B1220" s="274"/>
      <c r="C1220" s="99"/>
      <c r="D1220" s="99"/>
      <c r="E1220" s="99"/>
    </row>
    <row r="1221" spans="1:6" s="118" customFormat="1" ht="12.75" x14ac:dyDescent="0.2">
      <c r="A1221" s="256"/>
      <c r="B1221" s="274"/>
      <c r="C1221" s="99"/>
      <c r="D1221" s="99"/>
      <c r="E1221" s="99"/>
    </row>
    <row r="1222" spans="1:6" s="118" customFormat="1" ht="12.75" x14ac:dyDescent="0.2">
      <c r="A1222" s="256"/>
      <c r="B1222" s="274"/>
      <c r="C1222" s="99"/>
      <c r="D1222" s="99"/>
      <c r="E1222" s="99"/>
    </row>
    <row r="1223" spans="1:6" s="118" customFormat="1" ht="12.75" x14ac:dyDescent="0.2">
      <c r="A1223" s="256"/>
      <c r="B1223" s="274"/>
      <c r="C1223" s="99"/>
      <c r="D1223" s="99"/>
      <c r="E1223" s="99"/>
    </row>
    <row r="1224" spans="1:6" s="118" customFormat="1" ht="12.75" x14ac:dyDescent="0.2">
      <c r="A1224" s="256"/>
      <c r="B1224" s="274"/>
      <c r="C1224" s="99"/>
      <c r="D1224" s="99"/>
      <c r="E1224" s="99"/>
    </row>
    <row r="1225" spans="1:6" s="118" customFormat="1" ht="12.75" x14ac:dyDescent="0.2">
      <c r="A1225" s="256"/>
      <c r="B1225" s="274"/>
      <c r="C1225" s="99"/>
      <c r="D1225" s="99"/>
      <c r="E1225" s="99"/>
    </row>
    <row r="1226" spans="1:6" s="118" customFormat="1" ht="12.75" x14ac:dyDescent="0.2">
      <c r="A1226" s="256"/>
      <c r="B1226" s="274"/>
      <c r="C1226" s="99"/>
      <c r="D1226" s="99"/>
      <c r="E1226" s="99"/>
    </row>
    <row r="1227" spans="1:6" s="118" customFormat="1" ht="12.75" x14ac:dyDescent="0.2">
      <c r="A1227" s="256"/>
      <c r="B1227" s="274"/>
      <c r="C1227" s="99"/>
      <c r="D1227" s="99"/>
      <c r="E1227" s="99"/>
    </row>
    <row r="1228" spans="1:6" s="118" customFormat="1" ht="12.75" x14ac:dyDescent="0.2">
      <c r="A1228" s="256"/>
      <c r="B1228" s="274"/>
      <c r="C1228" s="99"/>
      <c r="D1228" s="99"/>
      <c r="E1228" s="99"/>
    </row>
    <row r="1229" spans="1:6" s="118" customFormat="1" ht="12.75" x14ac:dyDescent="0.2">
      <c r="A1229" s="256"/>
      <c r="B1229" s="274"/>
      <c r="C1229" s="99"/>
      <c r="D1229" s="99"/>
      <c r="E1229" s="99"/>
    </row>
    <row r="1230" spans="1:6" s="118" customFormat="1" ht="12.75" x14ac:dyDescent="0.2">
      <c r="A1230" s="256"/>
      <c r="B1230" s="274"/>
      <c r="C1230" s="99"/>
      <c r="D1230" s="99"/>
      <c r="E1230" s="99"/>
    </row>
    <row r="1231" spans="1:6" s="118" customFormat="1" ht="12.75" x14ac:dyDescent="0.2">
      <c r="A1231" s="256"/>
      <c r="B1231" s="274"/>
      <c r="C1231" s="99"/>
      <c r="D1231" s="99"/>
      <c r="E1231" s="99"/>
    </row>
    <row r="1232" spans="1:6" s="118" customFormat="1" ht="12.75" x14ac:dyDescent="0.2">
      <c r="A1232" s="256"/>
      <c r="B1232" s="274"/>
      <c r="C1232" s="99"/>
      <c r="D1232" s="99"/>
      <c r="E1232" s="99"/>
    </row>
    <row r="1233" spans="1:6" s="118" customFormat="1" ht="12.75" x14ac:dyDescent="0.2">
      <c r="A1233" s="256"/>
      <c r="B1233" s="274"/>
      <c r="C1233" s="99"/>
      <c r="D1233" s="99"/>
      <c r="E1233" s="99"/>
    </row>
    <row r="1234" spans="1:6" s="118" customFormat="1" ht="12.75" x14ac:dyDescent="0.2">
      <c r="A1234" s="256"/>
      <c r="B1234" s="274"/>
      <c r="C1234" s="99"/>
      <c r="D1234" s="99"/>
      <c r="E1234" s="258"/>
    </row>
    <row r="1235" spans="1:6" x14ac:dyDescent="0.25">
      <c r="B1235" s="274"/>
    </row>
    <row r="1236" spans="1:6" x14ac:dyDescent="0.25">
      <c r="B1236" s="274"/>
    </row>
    <row r="1237" spans="1:6" x14ac:dyDescent="0.25">
      <c r="B1237" s="274"/>
    </row>
    <row r="1238" spans="1:6" x14ac:dyDescent="0.25">
      <c r="B1238" s="274"/>
    </row>
    <row r="1239" spans="1:6" x14ac:dyDescent="0.25">
      <c r="B1239" s="274"/>
    </row>
    <row r="1240" spans="1:6" x14ac:dyDescent="0.25">
      <c r="B1240" s="274"/>
    </row>
    <row r="1241" spans="1:6" ht="15.75" thickBot="1" x14ac:dyDescent="0.3">
      <c r="A1241" s="264"/>
      <c r="B1241" s="300"/>
      <c r="C1241" s="266"/>
      <c r="D1241" s="266"/>
      <c r="E1241" s="267"/>
      <c r="F1241" s="268"/>
    </row>
    <row r="1242" spans="1:6" x14ac:dyDescent="0.25">
      <c r="A1242" s="251"/>
      <c r="B1242" s="252"/>
      <c r="C1242" s="253"/>
      <c r="D1242" s="253"/>
      <c r="E1242" s="254"/>
      <c r="F1242" s="255"/>
    </row>
    <row r="1243" spans="1:6" x14ac:dyDescent="0.25">
      <c r="B1243" s="347"/>
      <c r="F1243" s="277"/>
    </row>
    <row r="1244" spans="1:6" x14ac:dyDescent="0.25">
      <c r="B1244" s="305"/>
      <c r="F1244" s="277"/>
    </row>
    <row r="1245" spans="1:6" x14ac:dyDescent="0.25">
      <c r="B1245" s="279"/>
      <c r="F1245" s="277"/>
    </row>
    <row r="1246" spans="1:6" x14ac:dyDescent="0.25">
      <c r="B1246" s="270"/>
      <c r="F1246" s="277"/>
    </row>
    <row r="1247" spans="1:6" x14ac:dyDescent="0.25">
      <c r="B1247" s="270"/>
      <c r="F1247" s="277"/>
    </row>
    <row r="1248" spans="1:6" x14ac:dyDescent="0.25">
      <c r="B1248" s="270"/>
      <c r="F1248" s="277"/>
    </row>
    <row r="1249" spans="1:6" x14ac:dyDescent="0.25">
      <c r="B1249" s="270"/>
      <c r="F1249" s="277"/>
    </row>
    <row r="1250" spans="1:6" x14ac:dyDescent="0.25">
      <c r="B1250" s="297"/>
      <c r="F1250" s="277"/>
    </row>
    <row r="1251" spans="1:6" x14ac:dyDescent="0.25">
      <c r="B1251" s="347"/>
      <c r="F1251" s="277"/>
    </row>
    <row r="1253" spans="1:6" x14ac:dyDescent="0.25">
      <c r="B1253" s="367"/>
    </row>
    <row r="1254" spans="1:6" x14ac:dyDescent="0.25">
      <c r="B1254" s="257"/>
    </row>
    <row r="1256" spans="1:6" x14ac:dyDescent="0.25">
      <c r="B1256" s="299"/>
    </row>
    <row r="1257" spans="1:6" x14ac:dyDescent="0.25">
      <c r="B1257" s="347"/>
    </row>
    <row r="1258" spans="1:6" x14ac:dyDescent="0.25">
      <c r="B1258" s="269"/>
    </row>
    <row r="1259" spans="1:6" x14ac:dyDescent="0.25">
      <c r="B1259" s="350"/>
    </row>
    <row r="1260" spans="1:6" x14ac:dyDescent="0.25">
      <c r="B1260" s="299"/>
    </row>
    <row r="1261" spans="1:6" s="99" customFormat="1" ht="12.75" x14ac:dyDescent="0.25">
      <c r="A1261" s="256"/>
      <c r="B1261" s="299"/>
      <c r="E1261" s="258"/>
      <c r="F1261" s="118"/>
    </row>
    <row r="1262" spans="1:6" s="99" customFormat="1" ht="12.75" x14ac:dyDescent="0.25">
      <c r="A1262" s="256"/>
      <c r="B1262" s="299"/>
      <c r="E1262" s="258"/>
      <c r="F1262" s="118"/>
    </row>
    <row r="1263" spans="1:6" s="99" customFormat="1" ht="12.75" x14ac:dyDescent="0.25">
      <c r="A1263" s="256"/>
      <c r="B1263" s="299"/>
      <c r="E1263" s="258"/>
      <c r="F1263" s="118"/>
    </row>
    <row r="1264" spans="1:6" s="99" customFormat="1" ht="12.75" x14ac:dyDescent="0.25">
      <c r="A1264" s="256"/>
      <c r="B1264" s="299"/>
      <c r="E1264" s="258"/>
      <c r="F1264" s="118"/>
    </row>
    <row r="1265" spans="1:6" s="99" customFormat="1" ht="12.75" x14ac:dyDescent="0.25">
      <c r="A1265" s="256"/>
      <c r="B1265" s="299"/>
      <c r="E1265" s="258"/>
      <c r="F1265" s="118"/>
    </row>
    <row r="1266" spans="1:6" s="99" customFormat="1" ht="12.75" x14ac:dyDescent="0.25">
      <c r="A1266" s="256"/>
      <c r="B1266" s="299"/>
      <c r="E1266" s="258"/>
      <c r="F1266" s="118"/>
    </row>
    <row r="1267" spans="1:6" s="99" customFormat="1" ht="12.75" x14ac:dyDescent="0.25">
      <c r="A1267" s="256"/>
      <c r="B1267" s="299"/>
      <c r="E1267" s="258"/>
      <c r="F1267" s="118"/>
    </row>
    <row r="1268" spans="1:6" s="99" customFormat="1" ht="12.75" x14ac:dyDescent="0.25">
      <c r="A1268" s="256"/>
      <c r="B1268" s="299"/>
      <c r="E1268" s="258"/>
      <c r="F1268" s="118"/>
    </row>
    <row r="1278" spans="1:6" x14ac:dyDescent="0.25">
      <c r="B1278" s="347"/>
      <c r="F1278" s="277"/>
    </row>
    <row r="1279" spans="1:6" x14ac:dyDescent="0.25">
      <c r="B1279" s="347"/>
      <c r="F1279" s="277"/>
    </row>
    <row r="1280" spans="1:6" ht="15.75" thickBot="1" x14ac:dyDescent="0.3">
      <c r="A1280" s="264"/>
      <c r="B1280" s="300"/>
      <c r="C1280" s="266"/>
      <c r="D1280" s="266"/>
      <c r="E1280" s="267"/>
      <c r="F1280" s="268"/>
    </row>
    <row r="1281" spans="1:6" x14ac:dyDescent="0.25">
      <c r="A1281" s="251"/>
      <c r="B1281" s="252"/>
      <c r="C1281" s="253"/>
      <c r="D1281" s="253"/>
      <c r="E1281" s="254"/>
      <c r="F1281" s="255"/>
    </row>
    <row r="1282" spans="1:6" x14ac:dyDescent="0.25">
      <c r="B1282" s="276"/>
      <c r="E1282" s="99"/>
    </row>
    <row r="1283" spans="1:6" x14ac:dyDescent="0.25">
      <c r="B1283" s="357"/>
      <c r="C1283" s="358"/>
      <c r="E1283" s="99"/>
      <c r="F1283" s="277"/>
    </row>
    <row r="1284" spans="1:6" x14ac:dyDescent="0.25">
      <c r="B1284" s="298"/>
      <c r="E1284" s="99"/>
      <c r="F1284" s="277"/>
    </row>
    <row r="1285" spans="1:6" x14ac:dyDescent="0.25">
      <c r="A1285" s="359"/>
      <c r="B1285" s="360"/>
      <c r="E1285" s="99"/>
      <c r="F1285" s="277"/>
    </row>
    <row r="1286" spans="1:6" x14ac:dyDescent="0.25">
      <c r="A1286" s="359"/>
      <c r="B1286" s="298"/>
      <c r="E1286" s="99"/>
      <c r="F1286" s="277"/>
    </row>
    <row r="1287" spans="1:6" x14ac:dyDescent="0.25">
      <c r="A1287" s="359"/>
      <c r="B1287" s="360"/>
      <c r="E1287" s="99"/>
      <c r="F1287" s="277"/>
    </row>
    <row r="1288" spans="1:6" x14ac:dyDescent="0.25">
      <c r="A1288" s="359"/>
      <c r="B1288" s="298"/>
      <c r="E1288" s="99"/>
      <c r="F1288" s="277"/>
    </row>
    <row r="1289" spans="1:6" x14ac:dyDescent="0.25">
      <c r="A1289" s="359"/>
      <c r="B1289" s="360"/>
      <c r="E1289" s="99"/>
      <c r="F1289" s="277"/>
    </row>
    <row r="1290" spans="1:6" x14ac:dyDescent="0.25">
      <c r="A1290" s="359"/>
      <c r="B1290" s="360"/>
      <c r="E1290" s="99"/>
      <c r="F1290" s="277"/>
    </row>
    <row r="1291" spans="1:6" x14ac:dyDescent="0.25">
      <c r="A1291" s="359"/>
      <c r="B1291" s="360"/>
      <c r="E1291" s="99"/>
      <c r="F1291" s="277"/>
    </row>
    <row r="1292" spans="1:6" x14ac:dyDescent="0.25">
      <c r="A1292" s="359"/>
      <c r="B1292" s="360"/>
      <c r="E1292" s="99"/>
      <c r="F1292" s="277"/>
    </row>
    <row r="1293" spans="1:6" x14ac:dyDescent="0.25">
      <c r="A1293" s="359"/>
      <c r="B1293" s="360"/>
      <c r="E1293" s="99"/>
      <c r="F1293" s="277"/>
    </row>
    <row r="1294" spans="1:6" x14ac:dyDescent="0.25">
      <c r="A1294" s="310"/>
      <c r="B1294" s="260"/>
      <c r="C1294" s="279"/>
      <c r="D1294" s="279"/>
      <c r="E1294" s="334"/>
      <c r="F1294" s="336"/>
    </row>
    <row r="1295" spans="1:6" x14ac:dyDescent="0.25">
      <c r="A1295" s="304"/>
      <c r="B1295" s="309"/>
      <c r="C1295" s="337"/>
      <c r="D1295" s="331"/>
      <c r="E1295" s="334"/>
      <c r="F1295" s="368"/>
    </row>
    <row r="1296" spans="1:6" x14ac:dyDescent="0.25">
      <c r="A1296" s="325"/>
      <c r="B1296" s="326"/>
      <c r="C1296" s="327"/>
      <c r="D1296" s="327"/>
      <c r="E1296" s="328"/>
      <c r="F1296" s="329"/>
    </row>
    <row r="1297" spans="1:6" x14ac:dyDescent="0.25">
      <c r="A1297" s="338"/>
      <c r="B1297" s="339"/>
      <c r="C1297" s="340"/>
      <c r="D1297" s="341"/>
      <c r="E1297" s="312"/>
      <c r="F1297" s="342"/>
    </row>
    <row r="1298" spans="1:6" x14ac:dyDescent="0.25">
      <c r="A1298" s="338"/>
      <c r="B1298" s="274"/>
      <c r="C1298" s="340"/>
      <c r="D1298" s="341"/>
      <c r="E1298" s="312"/>
      <c r="F1298" s="342"/>
    </row>
    <row r="1299" spans="1:6" x14ac:dyDescent="0.25">
      <c r="A1299" s="338"/>
      <c r="B1299" s="270"/>
      <c r="C1299" s="340"/>
      <c r="D1299" s="341"/>
      <c r="E1299" s="312"/>
      <c r="F1299" s="342"/>
    </row>
    <row r="1300" spans="1:6" x14ac:dyDescent="0.25">
      <c r="A1300" s="338"/>
      <c r="B1300" s="274"/>
      <c r="C1300" s="340"/>
      <c r="D1300" s="341"/>
      <c r="E1300" s="312"/>
      <c r="F1300" s="342"/>
    </row>
    <row r="1301" spans="1:6" x14ac:dyDescent="0.25">
      <c r="A1301" s="310"/>
      <c r="B1301" s="260"/>
      <c r="C1301" s="331"/>
      <c r="D1301" s="331"/>
      <c r="E1301" s="334"/>
      <c r="F1301" s="333"/>
    </row>
    <row r="1302" spans="1:6" x14ac:dyDescent="0.25">
      <c r="A1302" s="310"/>
      <c r="B1302" s="260"/>
      <c r="C1302" s="331"/>
      <c r="D1302" s="331"/>
      <c r="E1302" s="334"/>
      <c r="F1302" s="333"/>
    </row>
    <row r="1303" spans="1:6" x14ac:dyDescent="0.25">
      <c r="A1303" s="310"/>
      <c r="B1303" s="260"/>
      <c r="C1303" s="337"/>
      <c r="D1303" s="331"/>
      <c r="E1303" s="334"/>
      <c r="F1303" s="333"/>
    </row>
    <row r="1304" spans="1:6" x14ac:dyDescent="0.25">
      <c r="B1304" s="260"/>
    </row>
    <row r="1305" spans="1:6" x14ac:dyDescent="0.25">
      <c r="B1305" s="260"/>
    </row>
    <row r="1306" spans="1:6" x14ac:dyDescent="0.25">
      <c r="B1306" s="260"/>
    </row>
    <row r="1307" spans="1:6" x14ac:dyDescent="0.25">
      <c r="B1307" s="260"/>
    </row>
    <row r="1308" spans="1:6" s="99" customFormat="1" ht="12.75" x14ac:dyDescent="0.2">
      <c r="A1308" s="256"/>
      <c r="B1308" s="260"/>
      <c r="E1308" s="258"/>
      <c r="F1308" s="118"/>
    </row>
    <row r="1309" spans="1:6" s="99" customFormat="1" ht="12.75" x14ac:dyDescent="0.2">
      <c r="A1309" s="256"/>
      <c r="B1309" s="274"/>
      <c r="E1309" s="258"/>
      <c r="F1309" s="118"/>
    </row>
    <row r="1314" spans="1:6" s="99" customFormat="1" ht="12.75" x14ac:dyDescent="0.2">
      <c r="A1314" s="256"/>
      <c r="B1314" s="260"/>
      <c r="E1314" s="258"/>
      <c r="F1314" s="118"/>
    </row>
    <row r="1315" spans="1:6" s="99" customFormat="1" ht="12.75" x14ac:dyDescent="0.2">
      <c r="A1315" s="256"/>
      <c r="B1315" s="260"/>
      <c r="E1315" s="258"/>
      <c r="F1315" s="118"/>
    </row>
    <row r="1316" spans="1:6" s="99" customFormat="1" ht="12.75" x14ac:dyDescent="0.2">
      <c r="A1316" s="256"/>
      <c r="B1316" s="274"/>
      <c r="E1316" s="258"/>
      <c r="F1316" s="118"/>
    </row>
    <row r="1317" spans="1:6" s="99" customFormat="1" ht="12.75" x14ac:dyDescent="0.2">
      <c r="A1317" s="256"/>
      <c r="B1317" s="274"/>
      <c r="E1317" s="258"/>
      <c r="F1317" s="118"/>
    </row>
    <row r="1325" spans="1:6" x14ac:dyDescent="0.25">
      <c r="B1325" s="275"/>
    </row>
    <row r="1326" spans="1:6" ht="15.75" thickBot="1" x14ac:dyDescent="0.3">
      <c r="A1326" s="264"/>
      <c r="B1326" s="265"/>
      <c r="C1326" s="266"/>
      <c r="D1326" s="266"/>
      <c r="E1326" s="266"/>
      <c r="F1326" s="268"/>
    </row>
    <row r="1327" spans="1:6" x14ac:dyDescent="0.25">
      <c r="A1327" s="251"/>
      <c r="B1327" s="252"/>
      <c r="C1327" s="253"/>
      <c r="D1327" s="253"/>
      <c r="E1327" s="254"/>
      <c r="F1327" s="255"/>
    </row>
    <row r="1328" spans="1:6" x14ac:dyDescent="0.25">
      <c r="B1328" s="275"/>
    </row>
    <row r="1329" spans="1:6" x14ac:dyDescent="0.25">
      <c r="B1329" s="278"/>
    </row>
    <row r="1330" spans="1:6" x14ac:dyDescent="0.25">
      <c r="B1330" s="279"/>
    </row>
    <row r="1331" spans="1:6" x14ac:dyDescent="0.25">
      <c r="B1331" s="261"/>
    </row>
    <row r="1332" spans="1:6" x14ac:dyDescent="0.25">
      <c r="B1332" s="261"/>
    </row>
    <row r="1333" spans="1:6" x14ac:dyDescent="0.25">
      <c r="B1333" s="261"/>
    </row>
    <row r="1334" spans="1:6" x14ac:dyDescent="0.25">
      <c r="B1334" s="261"/>
    </row>
    <row r="1335" spans="1:6" x14ac:dyDescent="0.25">
      <c r="B1335" s="261"/>
    </row>
    <row r="1336" spans="1:6" x14ac:dyDescent="0.25">
      <c r="B1336" s="263"/>
    </row>
    <row r="1337" spans="1:6" x14ac:dyDescent="0.25">
      <c r="B1337" s="269"/>
    </row>
    <row r="1338" spans="1:6" x14ac:dyDescent="0.25">
      <c r="B1338" s="287"/>
    </row>
    <row r="1339" spans="1:6" x14ac:dyDescent="0.25">
      <c r="B1339" s="260"/>
    </row>
    <row r="1340" spans="1:6" x14ac:dyDescent="0.25">
      <c r="B1340" s="280"/>
    </row>
    <row r="1341" spans="1:6" s="99" customFormat="1" ht="12.75" x14ac:dyDescent="0.2">
      <c r="A1341" s="256"/>
      <c r="B1341" s="261"/>
      <c r="E1341" s="258"/>
      <c r="F1341" s="118"/>
    </row>
    <row r="1342" spans="1:6" s="99" customFormat="1" ht="12.75" x14ac:dyDescent="0.2">
      <c r="A1342" s="256"/>
      <c r="B1342" s="261"/>
      <c r="E1342" s="258"/>
      <c r="F1342" s="118"/>
    </row>
    <row r="1343" spans="1:6" s="99" customFormat="1" ht="12.75" x14ac:dyDescent="0.2">
      <c r="A1343" s="256"/>
      <c r="B1343" s="261"/>
      <c r="E1343" s="258"/>
      <c r="F1343" s="118"/>
    </row>
    <row r="1344" spans="1:6" s="99" customFormat="1" ht="12.75" x14ac:dyDescent="0.2">
      <c r="A1344" s="256"/>
      <c r="B1344" s="263"/>
      <c r="E1344" s="258"/>
      <c r="F1344" s="118"/>
    </row>
    <row r="1345" spans="1:6" s="99" customFormat="1" ht="12.75" x14ac:dyDescent="0.2">
      <c r="A1345" s="256"/>
      <c r="B1345" s="261"/>
      <c r="E1345" s="258"/>
      <c r="F1345" s="118"/>
    </row>
    <row r="1346" spans="1:6" s="99" customFormat="1" ht="12.75" x14ac:dyDescent="0.2">
      <c r="A1346" s="256"/>
      <c r="B1346" s="287"/>
      <c r="E1346" s="258"/>
      <c r="F1346" s="118"/>
    </row>
    <row r="1347" spans="1:6" s="99" customFormat="1" ht="12.75" x14ac:dyDescent="0.2">
      <c r="A1347" s="256"/>
      <c r="B1347" s="260"/>
      <c r="E1347" s="258"/>
      <c r="F1347" s="118"/>
    </row>
    <row r="1348" spans="1:6" s="99" customFormat="1" ht="12.75" x14ac:dyDescent="0.2">
      <c r="A1348" s="256"/>
      <c r="B1348" s="260"/>
      <c r="E1348" s="258"/>
      <c r="F1348" s="118"/>
    </row>
    <row r="1349" spans="1:6" s="99" customFormat="1" ht="12.75" x14ac:dyDescent="0.2">
      <c r="A1349" s="256"/>
      <c r="B1349" s="261"/>
      <c r="E1349" s="258"/>
      <c r="F1349" s="118"/>
    </row>
    <row r="1350" spans="1:6" s="99" customFormat="1" ht="12.75" x14ac:dyDescent="0.2">
      <c r="A1350" s="256"/>
      <c r="B1350" s="261"/>
      <c r="E1350" s="258"/>
      <c r="F1350" s="118"/>
    </row>
    <row r="1351" spans="1:6" s="99" customFormat="1" ht="12.75" x14ac:dyDescent="0.2">
      <c r="A1351" s="256"/>
      <c r="B1351" s="269"/>
      <c r="E1351" s="258"/>
      <c r="F1351" s="118"/>
    </row>
    <row r="1352" spans="1:6" s="99" customFormat="1" ht="12.75" x14ac:dyDescent="0.2">
      <c r="A1352" s="256"/>
      <c r="B1352" s="314"/>
      <c r="E1352" s="258"/>
      <c r="F1352" s="118"/>
    </row>
    <row r="1353" spans="1:6" s="99" customFormat="1" ht="12.75" x14ac:dyDescent="0.2">
      <c r="A1353" s="256"/>
      <c r="B1353" s="261"/>
      <c r="E1353" s="258"/>
      <c r="F1353" s="118"/>
    </row>
    <row r="1354" spans="1:6" s="99" customFormat="1" ht="12.75" x14ac:dyDescent="0.2">
      <c r="A1354" s="256"/>
      <c r="B1354" s="287"/>
      <c r="E1354" s="258"/>
      <c r="F1354" s="118"/>
    </row>
    <row r="1355" spans="1:6" s="99" customFormat="1" ht="12.75" x14ac:dyDescent="0.2">
      <c r="A1355" s="256"/>
      <c r="B1355" s="260"/>
      <c r="E1355" s="258"/>
      <c r="F1355" s="118"/>
    </row>
    <row r="1356" spans="1:6" s="99" customFormat="1" ht="12.75" x14ac:dyDescent="0.2">
      <c r="A1356" s="256"/>
      <c r="B1356" s="260"/>
      <c r="E1356" s="258"/>
      <c r="F1356" s="118"/>
    </row>
    <row r="1357" spans="1:6" x14ac:dyDescent="0.25">
      <c r="B1357" s="260"/>
    </row>
    <row r="1358" spans="1:6" x14ac:dyDescent="0.25">
      <c r="B1358" s="347"/>
      <c r="F1358" s="277"/>
    </row>
    <row r="1359" spans="1:6" x14ac:dyDescent="0.25">
      <c r="B1359" s="297"/>
      <c r="F1359" s="277"/>
    </row>
    <row r="1360" spans="1:6" x14ac:dyDescent="0.25">
      <c r="B1360" s="298"/>
      <c r="F1360" s="277"/>
    </row>
    <row r="1361" spans="1:6" x14ac:dyDescent="0.25">
      <c r="B1361" s="299"/>
    </row>
    <row r="1362" spans="1:6" x14ac:dyDescent="0.25">
      <c r="B1362" s="260"/>
    </row>
    <row r="1363" spans="1:6" ht="15.75" thickBot="1" x14ac:dyDescent="0.3">
      <c r="A1363" s="264"/>
      <c r="B1363" s="300"/>
      <c r="C1363" s="266"/>
      <c r="D1363" s="266"/>
      <c r="E1363" s="267"/>
      <c r="F1363" s="268"/>
    </row>
    <row r="1364" spans="1:6" x14ac:dyDescent="0.25">
      <c r="A1364" s="251"/>
      <c r="B1364" s="252"/>
      <c r="C1364" s="253"/>
      <c r="D1364" s="253"/>
      <c r="E1364" s="254"/>
      <c r="F1364" s="255"/>
    </row>
    <row r="1366" spans="1:6" x14ac:dyDescent="0.25">
      <c r="B1366" s="257"/>
    </row>
    <row r="1368" spans="1:6" x14ac:dyDescent="0.25">
      <c r="B1368" s="257"/>
    </row>
    <row r="1369" spans="1:6" x14ac:dyDescent="0.25">
      <c r="A1369" s="271"/>
      <c r="B1369" s="259"/>
      <c r="C1369" s="289"/>
      <c r="D1369" s="289"/>
      <c r="E1369" s="290"/>
      <c r="F1369" s="291"/>
    </row>
    <row r="1370" spans="1:6" x14ac:dyDescent="0.25">
      <c r="A1370" s="271"/>
      <c r="B1370" s="257"/>
      <c r="C1370" s="289"/>
      <c r="D1370" s="289"/>
      <c r="E1370" s="290"/>
      <c r="F1370" s="291"/>
    </row>
    <row r="1371" spans="1:6" x14ac:dyDescent="0.25">
      <c r="A1371" s="271"/>
      <c r="B1371" s="259"/>
      <c r="C1371" s="289"/>
      <c r="D1371" s="289"/>
      <c r="E1371" s="290"/>
      <c r="F1371" s="291"/>
    </row>
    <row r="1372" spans="1:6" x14ac:dyDescent="0.25">
      <c r="A1372" s="271"/>
      <c r="B1372" s="269"/>
      <c r="C1372" s="289"/>
      <c r="D1372" s="289"/>
      <c r="E1372" s="290"/>
      <c r="F1372" s="291"/>
    </row>
    <row r="1374" spans="1:6" x14ac:dyDescent="0.25">
      <c r="C1374" s="364"/>
    </row>
    <row r="1376" spans="1:6" x14ac:dyDescent="0.25">
      <c r="C1376" s="364"/>
    </row>
    <row r="1378" spans="1:6" x14ac:dyDescent="0.25">
      <c r="B1378" s="257"/>
    </row>
    <row r="1380" spans="1:6" x14ac:dyDescent="0.25">
      <c r="B1380" s="269"/>
    </row>
    <row r="1381" spans="1:6" x14ac:dyDescent="0.25">
      <c r="D1381" s="289"/>
      <c r="E1381" s="290"/>
    </row>
    <row r="1382" spans="1:6" x14ac:dyDescent="0.25">
      <c r="C1382" s="364"/>
    </row>
    <row r="1383" spans="1:6" x14ac:dyDescent="0.25">
      <c r="A1383" s="271"/>
      <c r="B1383" s="259"/>
      <c r="C1383" s="289"/>
      <c r="D1383" s="289"/>
      <c r="E1383" s="290"/>
      <c r="F1383" s="291"/>
    </row>
    <row r="1384" spans="1:6" x14ac:dyDescent="0.25">
      <c r="B1384" s="257"/>
    </row>
    <row r="1386" spans="1:6" x14ac:dyDescent="0.25">
      <c r="A1386" s="271"/>
      <c r="B1386" s="269"/>
      <c r="C1386" s="289"/>
      <c r="D1386" s="289"/>
      <c r="E1386" s="290"/>
      <c r="F1386" s="291"/>
    </row>
    <row r="1388" spans="1:6" x14ac:dyDescent="0.25">
      <c r="C1388" s="364"/>
    </row>
    <row r="1390" spans="1:6" x14ac:dyDescent="0.25">
      <c r="B1390" s="369"/>
    </row>
    <row r="1392" spans="1:6" x14ac:dyDescent="0.25">
      <c r="B1392" s="370"/>
    </row>
    <row r="1399" spans="1:6" ht="15.75" thickBot="1" x14ac:dyDescent="0.3">
      <c r="A1399" s="264"/>
      <c r="B1399" s="300"/>
      <c r="C1399" s="266"/>
      <c r="D1399" s="266"/>
      <c r="E1399" s="267"/>
      <c r="F1399" s="268"/>
    </row>
    <row r="1400" spans="1:6" x14ac:dyDescent="0.25">
      <c r="A1400" s="251"/>
      <c r="B1400" s="252"/>
      <c r="C1400" s="253"/>
      <c r="D1400" s="253"/>
      <c r="E1400" s="254"/>
      <c r="F1400" s="255"/>
    </row>
    <row r="1402" spans="1:6" x14ac:dyDescent="0.25">
      <c r="B1402" s="257"/>
    </row>
    <row r="1404" spans="1:6" x14ac:dyDescent="0.25">
      <c r="B1404" s="257"/>
    </row>
    <row r="1406" spans="1:6" s="99" customFormat="1" ht="12.75" x14ac:dyDescent="0.25">
      <c r="A1406" s="256"/>
      <c r="B1406" s="257"/>
      <c r="E1406" s="258"/>
      <c r="F1406" s="118"/>
    </row>
    <row r="1408" spans="1:6" s="99" customFormat="1" ht="12.75" x14ac:dyDescent="0.2">
      <c r="A1408" s="256"/>
      <c r="B1408" s="262"/>
      <c r="E1408" s="258"/>
      <c r="F1408" s="118"/>
    </row>
    <row r="1410" spans="1:6" s="99" customFormat="1" ht="12.75" x14ac:dyDescent="0.2">
      <c r="A1410" s="256"/>
      <c r="B1410" s="269"/>
      <c r="E1410" s="258"/>
      <c r="F1410" s="118"/>
    </row>
    <row r="1412" spans="1:6" s="99" customFormat="1" ht="12.75" x14ac:dyDescent="0.25">
      <c r="A1412" s="256"/>
      <c r="B1412" s="302"/>
      <c r="E1412" s="258"/>
      <c r="F1412" s="118"/>
    </row>
    <row r="1413" spans="1:6" s="99" customFormat="1" ht="12.75" x14ac:dyDescent="0.25">
      <c r="A1413" s="256"/>
      <c r="B1413" s="302"/>
      <c r="E1413" s="258"/>
      <c r="F1413" s="118"/>
    </row>
    <row r="1414" spans="1:6" s="99" customFormat="1" ht="12.75" x14ac:dyDescent="0.2">
      <c r="A1414" s="256"/>
      <c r="B1414" s="153"/>
      <c r="E1414" s="258"/>
      <c r="F1414" s="118"/>
    </row>
    <row r="1415" spans="1:6" s="99" customFormat="1" ht="12.75" x14ac:dyDescent="0.25">
      <c r="A1415" s="256"/>
      <c r="B1415" s="303"/>
      <c r="E1415" s="258"/>
      <c r="F1415" s="118"/>
    </row>
    <row r="1416" spans="1:6" s="99" customFormat="1" ht="12.75" x14ac:dyDescent="0.2">
      <c r="A1416" s="256"/>
      <c r="B1416" s="153"/>
      <c r="E1416" s="258"/>
      <c r="F1416" s="118"/>
    </row>
    <row r="1417" spans="1:6" s="99" customFormat="1" ht="12.75" x14ac:dyDescent="0.2">
      <c r="A1417" s="256"/>
      <c r="B1417" s="260"/>
      <c r="E1417" s="258"/>
      <c r="F1417" s="118"/>
    </row>
    <row r="1418" spans="1:6" s="99" customFormat="1" ht="12.75" x14ac:dyDescent="0.2">
      <c r="A1418" s="256"/>
      <c r="B1418" s="153"/>
      <c r="E1418" s="258"/>
      <c r="F1418" s="118"/>
    </row>
    <row r="1419" spans="1:6" s="99" customFormat="1" ht="12.75" x14ac:dyDescent="0.2">
      <c r="A1419" s="256"/>
      <c r="B1419" s="260"/>
      <c r="E1419" s="258"/>
      <c r="F1419" s="118"/>
    </row>
    <row r="1420" spans="1:6" s="99" customFormat="1" ht="12.75" x14ac:dyDescent="0.2">
      <c r="A1420" s="256"/>
      <c r="B1420" s="261"/>
      <c r="E1420" s="258"/>
      <c r="F1420" s="118"/>
    </row>
    <row r="1421" spans="1:6" x14ac:dyDescent="0.25">
      <c r="B1421" s="261"/>
    </row>
    <row r="1422" spans="1:6" x14ac:dyDescent="0.25">
      <c r="B1422" s="260"/>
    </row>
    <row r="1432" spans="1:6" ht="15.75" thickBot="1" x14ac:dyDescent="0.3">
      <c r="A1432" s="264"/>
      <c r="B1432" s="265"/>
      <c r="C1432" s="266"/>
      <c r="D1432" s="266"/>
      <c r="E1432" s="267"/>
      <c r="F1432" s="268"/>
    </row>
    <row r="1433" spans="1:6" x14ac:dyDescent="0.25">
      <c r="A1433" s="251"/>
      <c r="B1433" s="252"/>
      <c r="C1433" s="253"/>
      <c r="D1433" s="253"/>
      <c r="E1433" s="254"/>
      <c r="F1433" s="255"/>
    </row>
    <row r="1435" spans="1:6" x14ac:dyDescent="0.25">
      <c r="A1435" s="304"/>
      <c r="B1435" s="305"/>
      <c r="C1435" s="306"/>
      <c r="D1435" s="306"/>
      <c r="E1435" s="307"/>
      <c r="F1435" s="308"/>
    </row>
    <row r="1436" spans="1:6" x14ac:dyDescent="0.25">
      <c r="A1436" s="304"/>
      <c r="B1436" s="309"/>
      <c r="C1436" s="306"/>
      <c r="D1436" s="306"/>
      <c r="E1436" s="307"/>
      <c r="F1436" s="308"/>
    </row>
    <row r="1437" spans="1:6" x14ac:dyDescent="0.25">
      <c r="A1437" s="310"/>
      <c r="B1437" s="303"/>
      <c r="C1437" s="311"/>
      <c r="D1437" s="311"/>
      <c r="E1437" s="312"/>
      <c r="F1437" s="313"/>
    </row>
    <row r="1439" spans="1:6" x14ac:dyDescent="0.25">
      <c r="B1439" s="269"/>
    </row>
    <row r="1440" spans="1:6" x14ac:dyDescent="0.25">
      <c r="B1440" s="314"/>
    </row>
    <row r="1441" spans="1:6" x14ac:dyDescent="0.25">
      <c r="B1441" s="123"/>
    </row>
    <row r="1443" spans="1:6" x14ac:dyDescent="0.25">
      <c r="B1443" s="257"/>
    </row>
    <row r="1445" spans="1:6" x14ac:dyDescent="0.25">
      <c r="A1445" s="310"/>
      <c r="B1445" s="153"/>
      <c r="C1445" s="311"/>
      <c r="D1445" s="311"/>
      <c r="E1445" s="312"/>
      <c r="F1445" s="313"/>
    </row>
    <row r="1449" spans="1:6" x14ac:dyDescent="0.25">
      <c r="A1449" s="310"/>
      <c r="B1449" s="261"/>
      <c r="C1449" s="311"/>
      <c r="D1449" s="311"/>
      <c r="E1449" s="311"/>
      <c r="F1449" s="313"/>
    </row>
    <row r="1450" spans="1:6" x14ac:dyDescent="0.25">
      <c r="A1450" s="310"/>
      <c r="B1450" s="261"/>
      <c r="C1450" s="311"/>
      <c r="D1450" s="311"/>
      <c r="E1450" s="311"/>
      <c r="F1450" s="313"/>
    </row>
    <row r="1451" spans="1:6" x14ac:dyDescent="0.25">
      <c r="A1451" s="310"/>
      <c r="B1451" s="261"/>
      <c r="C1451" s="311"/>
      <c r="D1451" s="311"/>
      <c r="E1451" s="311"/>
      <c r="F1451" s="313"/>
    </row>
    <row r="1452" spans="1:6" x14ac:dyDescent="0.25">
      <c r="A1452" s="310"/>
      <c r="B1452" s="260"/>
      <c r="C1452" s="311"/>
      <c r="D1452" s="311"/>
      <c r="E1452" s="311"/>
      <c r="F1452" s="313"/>
    </row>
    <row r="1453" spans="1:6" x14ac:dyDescent="0.25">
      <c r="A1453" s="310"/>
      <c r="B1453" s="260"/>
      <c r="C1453" s="311"/>
      <c r="D1453" s="311"/>
      <c r="E1453" s="311"/>
      <c r="F1453" s="313"/>
    </row>
    <row r="1454" spans="1:6" x14ac:dyDescent="0.25">
      <c r="A1454" s="310"/>
      <c r="B1454" s="260"/>
      <c r="C1454" s="311"/>
      <c r="D1454" s="311"/>
      <c r="E1454" s="311"/>
      <c r="F1454" s="313"/>
    </row>
    <row r="1455" spans="1:6" x14ac:dyDescent="0.25">
      <c r="A1455" s="310"/>
      <c r="B1455" s="260"/>
      <c r="C1455" s="311"/>
      <c r="D1455" s="311"/>
      <c r="E1455" s="311"/>
      <c r="F1455" s="313"/>
    </row>
    <row r="1456" spans="1:6" x14ac:dyDescent="0.25">
      <c r="B1456" s="314"/>
    </row>
    <row r="1457" spans="1:6" ht="15.75" thickBot="1" x14ac:dyDescent="0.3">
      <c r="A1457" s="264"/>
      <c r="B1457" s="265"/>
      <c r="C1457" s="266"/>
      <c r="D1457" s="266"/>
      <c r="E1457" s="267"/>
      <c r="F1457" s="268"/>
    </row>
    <row r="1459" spans="1:6" x14ac:dyDescent="0.25">
      <c r="B1459" s="276"/>
      <c r="F1459" s="277"/>
    </row>
    <row r="1460" spans="1:6" x14ac:dyDescent="0.25">
      <c r="F1460" s="277"/>
    </row>
    <row r="1461" spans="1:6" x14ac:dyDescent="0.25">
      <c r="B1461" s="276"/>
      <c r="F1461" s="277"/>
    </row>
    <row r="1468" spans="1:6" ht="15.75" thickBot="1" x14ac:dyDescent="0.3">
      <c r="A1468" s="264"/>
      <c r="B1468" s="300"/>
      <c r="C1468" s="266"/>
      <c r="D1468" s="266"/>
      <c r="E1468" s="267"/>
      <c r="F1468" s="268"/>
    </row>
    <row r="1469" spans="1:6" x14ac:dyDescent="0.25">
      <c r="A1469" s="251"/>
      <c r="B1469" s="252"/>
      <c r="C1469" s="253"/>
      <c r="D1469" s="253"/>
      <c r="E1469" s="254"/>
      <c r="F1469" s="255"/>
    </row>
    <row r="1470" spans="1:6" x14ac:dyDescent="0.25">
      <c r="B1470" s="275"/>
    </row>
    <row r="1471" spans="1:6" x14ac:dyDescent="0.25">
      <c r="B1471" s="257"/>
    </row>
    <row r="1473" spans="1:6" x14ac:dyDescent="0.25">
      <c r="B1473" s="257"/>
    </row>
    <row r="1475" spans="1:6" s="99" customFormat="1" ht="12.75" x14ac:dyDescent="0.2">
      <c r="A1475" s="256"/>
      <c r="B1475" s="270"/>
      <c r="E1475" s="258"/>
      <c r="F1475" s="118"/>
    </row>
    <row r="1479" spans="1:6" s="99" customFormat="1" ht="12.75" x14ac:dyDescent="0.2">
      <c r="A1479" s="256"/>
      <c r="B1479" s="261"/>
      <c r="E1479" s="258"/>
      <c r="F1479" s="118"/>
    </row>
    <row r="1480" spans="1:6" s="99" customFormat="1" ht="12.75" x14ac:dyDescent="0.2">
      <c r="A1480" s="256"/>
      <c r="B1480" s="287"/>
      <c r="E1480" s="258"/>
      <c r="F1480" s="118"/>
    </row>
    <row r="1481" spans="1:6" s="99" customFormat="1" ht="12.75" x14ac:dyDescent="0.2">
      <c r="A1481" s="256"/>
      <c r="B1481" s="260"/>
      <c r="E1481" s="258"/>
      <c r="F1481" s="118"/>
    </row>
    <row r="1482" spans="1:6" s="99" customFormat="1" ht="12.75" x14ac:dyDescent="0.2">
      <c r="A1482" s="256"/>
      <c r="B1482" s="260"/>
      <c r="E1482" s="258"/>
      <c r="F1482" s="118"/>
    </row>
    <row r="1483" spans="1:6" s="99" customFormat="1" ht="12.75" x14ac:dyDescent="0.2">
      <c r="A1483" s="256"/>
      <c r="B1483" s="261"/>
      <c r="E1483" s="258"/>
      <c r="F1483" s="118"/>
    </row>
    <row r="1484" spans="1:6" s="99" customFormat="1" ht="12.75" x14ac:dyDescent="0.2">
      <c r="A1484" s="256"/>
      <c r="B1484" s="315"/>
      <c r="E1484" s="258"/>
      <c r="F1484" s="118"/>
    </row>
    <row r="1485" spans="1:6" s="99" customFormat="1" ht="12.75" x14ac:dyDescent="0.2">
      <c r="A1485" s="256"/>
      <c r="B1485" s="316"/>
      <c r="E1485" s="258"/>
      <c r="F1485" s="118"/>
    </row>
    <row r="1486" spans="1:6" s="99" customFormat="1" ht="12.75" x14ac:dyDescent="0.2">
      <c r="A1486" s="256"/>
      <c r="B1486" s="317"/>
      <c r="E1486" s="258"/>
      <c r="F1486" s="118"/>
    </row>
    <row r="1487" spans="1:6" s="99" customFormat="1" ht="12.75" x14ac:dyDescent="0.2">
      <c r="A1487" s="256"/>
      <c r="B1487" s="318"/>
      <c r="E1487" s="258"/>
      <c r="F1487" s="118"/>
    </row>
    <row r="1493" spans="1:6" x14ac:dyDescent="0.25">
      <c r="B1493" s="260"/>
    </row>
    <row r="1494" spans="1:6" x14ac:dyDescent="0.25">
      <c r="B1494" s="260"/>
    </row>
    <row r="1495" spans="1:6" x14ac:dyDescent="0.25">
      <c r="B1495" s="260"/>
    </row>
    <row r="1496" spans="1:6" x14ac:dyDescent="0.25">
      <c r="B1496" s="319"/>
    </row>
    <row r="1497" spans="1:6" ht="15.75" thickBot="1" x14ac:dyDescent="0.3">
      <c r="A1497" s="264"/>
      <c r="B1497" s="265"/>
      <c r="C1497" s="266"/>
      <c r="D1497" s="266"/>
      <c r="E1497" s="267"/>
      <c r="F1497" s="268"/>
    </row>
    <row r="1498" spans="1:6" x14ac:dyDescent="0.25">
      <c r="A1498" s="251"/>
      <c r="B1498" s="252"/>
      <c r="C1498" s="253"/>
      <c r="D1498" s="253"/>
      <c r="E1498" s="254"/>
      <c r="F1498" s="255"/>
    </row>
    <row r="1499" spans="1:6" x14ac:dyDescent="0.25">
      <c r="B1499" s="275"/>
    </row>
    <row r="1500" spans="1:6" x14ac:dyDescent="0.25">
      <c r="B1500" s="320"/>
    </row>
    <row r="1501" spans="1:6" s="118" customFormat="1" ht="12.75" x14ac:dyDescent="0.25">
      <c r="A1501" s="256"/>
      <c r="B1501" s="275"/>
      <c r="C1501" s="99"/>
      <c r="D1501" s="99"/>
      <c r="E1501" s="258"/>
    </row>
    <row r="1502" spans="1:6" s="118" customFormat="1" ht="12.75" x14ac:dyDescent="0.2">
      <c r="A1502" s="256"/>
      <c r="B1502" s="269"/>
      <c r="C1502" s="99"/>
      <c r="D1502" s="99"/>
      <c r="E1502" s="258"/>
    </row>
    <row r="1503" spans="1:6" s="118" customFormat="1" ht="12.75" x14ac:dyDescent="0.25">
      <c r="A1503" s="256"/>
      <c r="B1503" s="275"/>
      <c r="C1503" s="99"/>
      <c r="D1503" s="99"/>
      <c r="E1503" s="258"/>
    </row>
    <row r="1504" spans="1:6" s="118" customFormat="1" ht="12.75" x14ac:dyDescent="0.2">
      <c r="A1504" s="256"/>
      <c r="B1504" s="365"/>
      <c r="C1504" s="99"/>
      <c r="D1504" s="99"/>
      <c r="E1504" s="258"/>
    </row>
    <row r="1505" spans="1:5" s="118" customFormat="1" ht="12.75" x14ac:dyDescent="0.25">
      <c r="A1505" s="256"/>
      <c r="B1505" s="299"/>
      <c r="C1505" s="99"/>
      <c r="D1505" s="99"/>
      <c r="E1505" s="258"/>
    </row>
    <row r="1506" spans="1:5" s="118" customFormat="1" ht="12.75" x14ac:dyDescent="0.2">
      <c r="A1506" s="256"/>
      <c r="B1506" s="269"/>
      <c r="C1506" s="99"/>
      <c r="D1506" s="99"/>
      <c r="E1506" s="258"/>
    </row>
    <row r="1507" spans="1:5" s="118" customFormat="1" ht="12.75" x14ac:dyDescent="0.25">
      <c r="A1507" s="256"/>
      <c r="B1507" s="299"/>
      <c r="C1507" s="99"/>
      <c r="D1507" s="99"/>
      <c r="E1507" s="258"/>
    </row>
    <row r="1508" spans="1:5" s="118" customFormat="1" ht="12.75" x14ac:dyDescent="0.2">
      <c r="A1508" s="256"/>
      <c r="B1508" s="123"/>
      <c r="C1508" s="311"/>
      <c r="D1508" s="311"/>
      <c r="E1508" s="312"/>
    </row>
    <row r="1509" spans="1:5" s="118" customFormat="1" ht="12.75" x14ac:dyDescent="0.25">
      <c r="A1509" s="256"/>
      <c r="B1509" s="299"/>
      <c r="C1509" s="99"/>
      <c r="D1509" s="99"/>
      <c r="E1509" s="258"/>
    </row>
    <row r="1510" spans="1:5" s="118" customFormat="1" ht="12.75" x14ac:dyDescent="0.2">
      <c r="A1510" s="256"/>
      <c r="B1510" s="123"/>
      <c r="C1510" s="311"/>
      <c r="D1510" s="311"/>
      <c r="E1510" s="312"/>
    </row>
    <row r="1511" spans="1:5" s="118" customFormat="1" ht="12.75" x14ac:dyDescent="0.25">
      <c r="A1511" s="256"/>
      <c r="B1511" s="299"/>
      <c r="C1511" s="99"/>
      <c r="D1511" s="99"/>
      <c r="E1511" s="258"/>
    </row>
    <row r="1512" spans="1:5" s="118" customFormat="1" ht="12.75" x14ac:dyDescent="0.2">
      <c r="A1512" s="310"/>
      <c r="B1512" s="123"/>
      <c r="C1512" s="311"/>
      <c r="D1512" s="311"/>
      <c r="E1512" s="312"/>
    </row>
    <row r="1513" spans="1:5" s="118" customFormat="1" ht="12.75" x14ac:dyDescent="0.2">
      <c r="A1513" s="310"/>
      <c r="B1513" s="261"/>
      <c r="C1513" s="311"/>
      <c r="D1513" s="311"/>
      <c r="E1513" s="312"/>
    </row>
    <row r="1514" spans="1:5" s="118" customFormat="1" ht="12.75" x14ac:dyDescent="0.2">
      <c r="A1514" s="256"/>
      <c r="B1514" s="269"/>
      <c r="C1514" s="99"/>
      <c r="D1514" s="99"/>
      <c r="E1514" s="258"/>
    </row>
    <row r="1515" spans="1:5" s="118" customFormat="1" ht="12.75" x14ac:dyDescent="0.25">
      <c r="A1515" s="256"/>
      <c r="B1515" s="321"/>
      <c r="C1515" s="99"/>
      <c r="D1515" s="99"/>
      <c r="E1515" s="258"/>
    </row>
    <row r="1516" spans="1:5" s="118" customFormat="1" ht="12.75" x14ac:dyDescent="0.2">
      <c r="A1516" s="256"/>
      <c r="B1516" s="123"/>
      <c r="C1516" s="99"/>
      <c r="D1516" s="99"/>
      <c r="E1516" s="258"/>
    </row>
    <row r="1518" spans="1:5" s="118" customFormat="1" ht="12.75" x14ac:dyDescent="0.2">
      <c r="A1518" s="256"/>
      <c r="B1518" s="269"/>
      <c r="C1518" s="99"/>
      <c r="D1518" s="99"/>
      <c r="E1518" s="258"/>
    </row>
    <row r="1520" spans="1:5" s="118" customFormat="1" ht="12.75" x14ac:dyDescent="0.2">
      <c r="A1520" s="256"/>
      <c r="B1520" s="123"/>
      <c r="C1520" s="99"/>
      <c r="D1520" s="99"/>
      <c r="E1520" s="258"/>
    </row>
    <row r="1522" spans="1:6" s="118" customFormat="1" ht="12.75" x14ac:dyDescent="0.2">
      <c r="A1522" s="256"/>
      <c r="B1522" s="123"/>
      <c r="C1522" s="99"/>
      <c r="D1522" s="99"/>
      <c r="E1522" s="258"/>
    </row>
    <row r="1524" spans="1:6" x14ac:dyDescent="0.25">
      <c r="A1524" s="310"/>
      <c r="B1524" s="261"/>
      <c r="C1524" s="311"/>
      <c r="D1524" s="311"/>
      <c r="E1524" s="322"/>
      <c r="F1524" s="313"/>
    </row>
    <row r="1525" spans="1:6" x14ac:dyDescent="0.25">
      <c r="A1525" s="310"/>
      <c r="B1525" s="287"/>
      <c r="C1525" s="311"/>
      <c r="D1525" s="311"/>
      <c r="E1525" s="322"/>
      <c r="F1525" s="313"/>
    </row>
    <row r="1526" spans="1:6" x14ac:dyDescent="0.25">
      <c r="A1526" s="310"/>
      <c r="B1526" s="262"/>
      <c r="C1526" s="311"/>
      <c r="D1526" s="311"/>
      <c r="E1526" s="322"/>
      <c r="F1526" s="313"/>
    </row>
    <row r="1533" spans="1:6" x14ac:dyDescent="0.25">
      <c r="B1533" s="123"/>
    </row>
    <row r="1534" spans="1:6" x14ac:dyDescent="0.25">
      <c r="B1534" s="123"/>
    </row>
    <row r="1535" spans="1:6" x14ac:dyDescent="0.25">
      <c r="A1535" s="310"/>
      <c r="B1535" s="260"/>
      <c r="C1535" s="311"/>
      <c r="D1535" s="311"/>
      <c r="E1535" s="312"/>
    </row>
    <row r="1536" spans="1:6" ht="15.75" thickBot="1" x14ac:dyDescent="0.3">
      <c r="A1536" s="264"/>
      <c r="B1536" s="265"/>
      <c r="C1536" s="266"/>
      <c r="D1536" s="266"/>
      <c r="E1536" s="267"/>
      <c r="F1536" s="268"/>
    </row>
    <row r="1537" spans="1:6" x14ac:dyDescent="0.25">
      <c r="A1537" s="251"/>
      <c r="B1537" s="252"/>
      <c r="C1537" s="253"/>
      <c r="D1537" s="253"/>
      <c r="E1537" s="254"/>
      <c r="F1537" s="255"/>
    </row>
    <row r="1539" spans="1:6" x14ac:dyDescent="0.25">
      <c r="B1539" s="269"/>
    </row>
    <row r="1541" spans="1:6" x14ac:dyDescent="0.25">
      <c r="B1541" s="123"/>
    </row>
    <row r="1543" spans="1:6" x14ac:dyDescent="0.25">
      <c r="B1543" s="123"/>
    </row>
    <row r="1545" spans="1:6" x14ac:dyDescent="0.25">
      <c r="B1545" s="260"/>
    </row>
    <row r="1547" spans="1:6" x14ac:dyDescent="0.25">
      <c r="B1547" s="262"/>
    </row>
    <row r="1549" spans="1:6" ht="15.75" thickBot="1" x14ac:dyDescent="0.3">
      <c r="A1549" s="264"/>
      <c r="B1549" s="265"/>
      <c r="C1549" s="266"/>
      <c r="D1549" s="266"/>
      <c r="E1549" s="267"/>
      <c r="F1549" s="268"/>
    </row>
    <row r="1550" spans="1:6" x14ac:dyDescent="0.25">
      <c r="B1550" s="317"/>
    </row>
    <row r="1551" spans="1:6" x14ac:dyDescent="0.25">
      <c r="B1551" s="276"/>
      <c r="F1551" s="277"/>
    </row>
    <row r="1552" spans="1:6" x14ac:dyDescent="0.25">
      <c r="F1552" s="277"/>
    </row>
    <row r="1553" spans="2:6" x14ac:dyDescent="0.25">
      <c r="B1553" s="276"/>
      <c r="F1553" s="277"/>
    </row>
    <row r="1554" spans="2:6" x14ac:dyDescent="0.25">
      <c r="F1554" s="277"/>
    </row>
    <row r="1555" spans="2:6" x14ac:dyDescent="0.25">
      <c r="B1555" s="276"/>
      <c r="F1555" s="277"/>
    </row>
    <row r="1560" spans="2:6" x14ac:dyDescent="0.25">
      <c r="B1560" s="260"/>
    </row>
    <row r="1561" spans="2:6" x14ac:dyDescent="0.25">
      <c r="B1561" s="262"/>
    </row>
    <row r="1562" spans="2:6" x14ac:dyDescent="0.25">
      <c r="B1562" s="262"/>
    </row>
    <row r="1563" spans="2:6" x14ac:dyDescent="0.25">
      <c r="B1563" s="262"/>
    </row>
    <row r="1564" spans="2:6" x14ac:dyDescent="0.25">
      <c r="B1564" s="262"/>
    </row>
    <row r="1565" spans="2:6" x14ac:dyDescent="0.25">
      <c r="B1565" s="262"/>
    </row>
    <row r="1566" spans="2:6" x14ac:dyDescent="0.25">
      <c r="B1566" s="262"/>
    </row>
    <row r="1567" spans="2:6" x14ac:dyDescent="0.25">
      <c r="B1567" s="262"/>
    </row>
    <row r="1568" spans="2:6" x14ac:dyDescent="0.25">
      <c r="B1568" s="262"/>
    </row>
    <row r="1569" spans="1:6" x14ac:dyDescent="0.25">
      <c r="B1569" s="262"/>
    </row>
    <row r="1570" spans="1:6" x14ac:dyDescent="0.25">
      <c r="B1570" s="262"/>
    </row>
    <row r="1571" spans="1:6" x14ac:dyDescent="0.25">
      <c r="B1571" s="262"/>
    </row>
    <row r="1572" spans="1:6" x14ac:dyDescent="0.25">
      <c r="B1572" s="262"/>
    </row>
    <row r="1573" spans="1:6" x14ac:dyDescent="0.25">
      <c r="B1573" s="262"/>
    </row>
    <row r="1574" spans="1:6" x14ac:dyDescent="0.25">
      <c r="B1574" s="262"/>
    </row>
    <row r="1575" spans="1:6" x14ac:dyDescent="0.25">
      <c r="B1575" s="319"/>
    </row>
    <row r="1576" spans="1:6" ht="15.75" thickBot="1" x14ac:dyDescent="0.3">
      <c r="A1576" s="264"/>
      <c r="B1576" s="300"/>
      <c r="C1576" s="266"/>
      <c r="D1576" s="266"/>
      <c r="E1576" s="267"/>
      <c r="F1576" s="268"/>
    </row>
    <row r="1577" spans="1:6" x14ac:dyDescent="0.25">
      <c r="A1577" s="251"/>
      <c r="B1577" s="252"/>
      <c r="C1577" s="253"/>
      <c r="D1577" s="253"/>
      <c r="E1577" s="254"/>
      <c r="F1577" s="255"/>
    </row>
    <row r="1579" spans="1:6" x14ac:dyDescent="0.25">
      <c r="B1579" s="305"/>
    </row>
    <row r="1580" spans="1:6" x14ac:dyDescent="0.25">
      <c r="B1580" s="279"/>
    </row>
    <row r="1581" spans="1:6" s="99" customFormat="1" ht="12.75" x14ac:dyDescent="0.2">
      <c r="A1581" s="256"/>
      <c r="B1581" s="270"/>
      <c r="E1581" s="258"/>
      <c r="F1581" s="118"/>
    </row>
    <row r="1582" spans="1:6" s="99" customFormat="1" ht="12.75" x14ac:dyDescent="0.2">
      <c r="A1582" s="256"/>
      <c r="B1582" s="323"/>
      <c r="E1582" s="258"/>
      <c r="F1582" s="118"/>
    </row>
    <row r="1583" spans="1:6" s="99" customFormat="1" ht="12.75" x14ac:dyDescent="0.2">
      <c r="A1583" s="256"/>
      <c r="B1583" s="261"/>
      <c r="E1583" s="258"/>
      <c r="F1583" s="118"/>
    </row>
    <row r="1584" spans="1:6" s="99" customFormat="1" ht="12.75" x14ac:dyDescent="0.2">
      <c r="A1584" s="256"/>
      <c r="B1584" s="260"/>
      <c r="E1584" s="258"/>
      <c r="F1584" s="118"/>
    </row>
    <row r="1585" spans="1:6" s="99" customFormat="1" ht="12.75" x14ac:dyDescent="0.2">
      <c r="A1585" s="256"/>
      <c r="B1585" s="320"/>
      <c r="E1585" s="258"/>
      <c r="F1585" s="118"/>
    </row>
    <row r="1586" spans="1:6" s="99" customFormat="1" ht="12.75" x14ac:dyDescent="0.2">
      <c r="A1586" s="256"/>
      <c r="B1586" s="371"/>
      <c r="E1586" s="258"/>
      <c r="F1586" s="118"/>
    </row>
    <row r="1587" spans="1:6" s="99" customFormat="1" ht="12.75" x14ac:dyDescent="0.2">
      <c r="A1587" s="256"/>
      <c r="B1587" s="262"/>
      <c r="E1587" s="258"/>
      <c r="F1587" s="118"/>
    </row>
    <row r="1588" spans="1:6" s="99" customFormat="1" ht="12.75" x14ac:dyDescent="0.2">
      <c r="A1588" s="256"/>
      <c r="B1588" s="371"/>
      <c r="E1588" s="258"/>
      <c r="F1588" s="118"/>
    </row>
    <row r="1589" spans="1:6" s="99" customFormat="1" ht="12.75" x14ac:dyDescent="0.2">
      <c r="A1589" s="256"/>
      <c r="B1589" s="269"/>
      <c r="E1589" s="258"/>
      <c r="F1589" s="118"/>
    </row>
    <row r="1590" spans="1:6" s="99" customFormat="1" ht="12.75" x14ac:dyDescent="0.2">
      <c r="A1590" s="256"/>
      <c r="B1590" s="371"/>
      <c r="E1590" s="258"/>
      <c r="F1590" s="118"/>
    </row>
    <row r="1591" spans="1:6" s="99" customFormat="1" ht="12.75" x14ac:dyDescent="0.2">
      <c r="A1591" s="256"/>
      <c r="B1591" s="371"/>
      <c r="E1591" s="258"/>
      <c r="F1591" s="118"/>
    </row>
    <row r="1592" spans="1:6" s="99" customFormat="1" ht="12.75" x14ac:dyDescent="0.2">
      <c r="A1592" s="256"/>
      <c r="B1592" s="371"/>
      <c r="E1592" s="258"/>
      <c r="F1592" s="118"/>
    </row>
    <row r="1593" spans="1:6" s="99" customFormat="1" ht="12.75" x14ac:dyDescent="0.2">
      <c r="A1593" s="256"/>
      <c r="B1593" s="372"/>
      <c r="E1593" s="258"/>
      <c r="F1593" s="118"/>
    </row>
    <row r="1594" spans="1:6" s="99" customFormat="1" ht="12.75" x14ac:dyDescent="0.2">
      <c r="A1594" s="256"/>
      <c r="B1594" s="371"/>
      <c r="E1594" s="258"/>
      <c r="F1594" s="118"/>
    </row>
    <row r="1595" spans="1:6" s="99" customFormat="1" ht="12.75" x14ac:dyDescent="0.2">
      <c r="A1595" s="256"/>
      <c r="B1595" s="371"/>
      <c r="E1595" s="258"/>
      <c r="F1595" s="118"/>
    </row>
    <row r="1596" spans="1:6" s="99" customFormat="1" ht="12.75" x14ac:dyDescent="0.2">
      <c r="A1596" s="256"/>
      <c r="B1596" s="371"/>
      <c r="E1596" s="258"/>
      <c r="F1596" s="118"/>
    </row>
    <row r="1597" spans="1:6" x14ac:dyDescent="0.25">
      <c r="B1597" s="371"/>
    </row>
    <row r="1598" spans="1:6" x14ac:dyDescent="0.25">
      <c r="B1598" s="371"/>
    </row>
    <row r="1599" spans="1:6" x14ac:dyDescent="0.25">
      <c r="B1599" s="269"/>
    </row>
    <row r="1600" spans="1:6" x14ac:dyDescent="0.25">
      <c r="B1600" s="261"/>
    </row>
    <row r="1601" spans="1:6" x14ac:dyDescent="0.25">
      <c r="B1601" s="295"/>
    </row>
    <row r="1602" spans="1:6" x14ac:dyDescent="0.25">
      <c r="B1602" s="260"/>
    </row>
    <row r="1603" spans="1:6" x14ac:dyDescent="0.25">
      <c r="B1603" s="371"/>
    </row>
    <row r="1604" spans="1:6" x14ac:dyDescent="0.25">
      <c r="B1604" s="371"/>
    </row>
    <row r="1605" spans="1:6" x14ac:dyDescent="0.25">
      <c r="B1605" s="371"/>
    </row>
    <row r="1606" spans="1:6" x14ac:dyDescent="0.25">
      <c r="B1606" s="371"/>
    </row>
    <row r="1607" spans="1:6" x14ac:dyDescent="0.25">
      <c r="B1607" s="371"/>
    </row>
    <row r="1608" spans="1:6" x14ac:dyDescent="0.25">
      <c r="B1608" s="371"/>
    </row>
    <row r="1609" spans="1:6" x14ac:dyDescent="0.25">
      <c r="B1609" s="371"/>
    </row>
    <row r="1610" spans="1:6" x14ac:dyDescent="0.25">
      <c r="B1610" s="371"/>
    </row>
    <row r="1611" spans="1:6" ht="15.75" thickBot="1" x14ac:dyDescent="0.3">
      <c r="A1611" s="264"/>
      <c r="B1611" s="265"/>
      <c r="C1611" s="266"/>
      <c r="D1611" s="266"/>
      <c r="E1611" s="267"/>
      <c r="F1611" s="268"/>
    </row>
    <row r="1612" spans="1:6" x14ac:dyDescent="0.25">
      <c r="A1612" s="251"/>
      <c r="B1612" s="252"/>
      <c r="C1612" s="253"/>
      <c r="D1612" s="253"/>
      <c r="E1612" s="254"/>
      <c r="F1612" s="255"/>
    </row>
    <row r="1613" spans="1:6" s="118" customFormat="1" ht="12.75" x14ac:dyDescent="0.2">
      <c r="A1613" s="256"/>
      <c r="B1613" s="371"/>
      <c r="C1613" s="99"/>
      <c r="D1613" s="99"/>
      <c r="E1613" s="258"/>
    </row>
    <row r="1614" spans="1:6" s="118" customFormat="1" ht="12.75" x14ac:dyDescent="0.2">
      <c r="A1614" s="256"/>
      <c r="B1614" s="269"/>
      <c r="C1614" s="99"/>
      <c r="D1614" s="99"/>
      <c r="E1614" s="258"/>
    </row>
    <row r="1615" spans="1:6" s="118" customFormat="1" ht="12.75" x14ac:dyDescent="0.2">
      <c r="A1615" s="256"/>
      <c r="B1615" s="319"/>
      <c r="C1615" s="99"/>
      <c r="D1615" s="99"/>
      <c r="E1615" s="258"/>
    </row>
    <row r="1616" spans="1:6" s="118" customFormat="1" ht="12.75" x14ac:dyDescent="0.2">
      <c r="A1616" s="256"/>
      <c r="B1616" s="274"/>
      <c r="C1616" s="99"/>
      <c r="D1616" s="99"/>
      <c r="E1616" s="258"/>
    </row>
    <row r="1617" spans="1:6" s="118" customFormat="1" ht="12.75" x14ac:dyDescent="0.2">
      <c r="A1617" s="256"/>
      <c r="B1617" s="274"/>
      <c r="C1617" s="99"/>
      <c r="D1617" s="99"/>
      <c r="E1617" s="258"/>
    </row>
    <row r="1618" spans="1:6" s="118" customFormat="1" ht="12.75" x14ac:dyDescent="0.25">
      <c r="A1618" s="256"/>
      <c r="B1618" s="324"/>
      <c r="C1618" s="99"/>
      <c r="D1618" s="99"/>
      <c r="E1618" s="258"/>
    </row>
    <row r="1619" spans="1:6" s="118" customFormat="1" x14ac:dyDescent="0.25">
      <c r="A1619" s="271"/>
      <c r="B1619" s="259"/>
      <c r="C1619" s="289"/>
      <c r="D1619" s="289"/>
      <c r="E1619" s="290"/>
    </row>
    <row r="1620" spans="1:6" s="118" customFormat="1" ht="12.75" x14ac:dyDescent="0.2">
      <c r="A1620" s="256"/>
      <c r="B1620" s="270"/>
      <c r="C1620" s="99"/>
      <c r="D1620" s="99"/>
      <c r="E1620" s="258"/>
    </row>
    <row r="1621" spans="1:6" s="118" customFormat="1" ht="12.75" x14ac:dyDescent="0.2">
      <c r="A1621" s="256"/>
      <c r="B1621" s="270"/>
      <c r="C1621" s="99"/>
      <c r="D1621" s="99"/>
      <c r="E1621" s="258"/>
    </row>
    <row r="1622" spans="1:6" s="118" customFormat="1" ht="12.75" x14ac:dyDescent="0.2">
      <c r="A1622" s="256"/>
      <c r="B1622" s="270"/>
      <c r="C1622" s="99"/>
      <c r="D1622" s="99"/>
      <c r="E1622" s="258"/>
    </row>
    <row r="1624" spans="1:6" s="118" customFormat="1" ht="12.75" x14ac:dyDescent="0.2">
      <c r="A1624" s="256"/>
      <c r="B1624" s="269"/>
      <c r="C1624" s="99"/>
      <c r="D1624" s="99"/>
      <c r="E1624" s="258"/>
    </row>
    <row r="1626" spans="1:6" s="118" customFormat="1" ht="12.75" x14ac:dyDescent="0.2">
      <c r="A1626" s="256"/>
      <c r="B1626" s="262"/>
      <c r="C1626" s="99"/>
      <c r="D1626" s="99"/>
      <c r="E1626" s="258"/>
    </row>
    <row r="1628" spans="1:6" s="118" customFormat="1" ht="12.75" x14ac:dyDescent="0.2">
      <c r="A1628" s="256"/>
      <c r="B1628" s="269"/>
      <c r="C1628" s="99"/>
      <c r="D1628" s="99"/>
      <c r="E1628" s="258"/>
    </row>
    <row r="1630" spans="1:6" s="99" customFormat="1" ht="12.75" x14ac:dyDescent="0.2">
      <c r="A1630" s="256"/>
      <c r="B1630" s="262"/>
      <c r="E1630" s="258"/>
      <c r="F1630" s="118"/>
    </row>
    <row r="1632" spans="1:6" s="99" customFormat="1" ht="12.75" x14ac:dyDescent="0.2">
      <c r="A1632" s="256"/>
      <c r="B1632" s="270"/>
      <c r="E1632" s="258"/>
      <c r="F1632" s="118"/>
    </row>
    <row r="1633" spans="1:6" s="99" customFormat="1" ht="12.75" x14ac:dyDescent="0.2">
      <c r="A1633" s="256"/>
      <c r="B1633" s="260"/>
      <c r="E1633" s="258"/>
      <c r="F1633" s="118"/>
    </row>
    <row r="1634" spans="1:6" s="99" customFormat="1" ht="12.75" x14ac:dyDescent="0.2">
      <c r="A1634" s="256"/>
      <c r="B1634" s="270"/>
      <c r="E1634" s="258"/>
      <c r="F1634" s="118"/>
    </row>
    <row r="1635" spans="1:6" s="99" customFormat="1" ht="12.75" x14ac:dyDescent="0.2">
      <c r="A1635" s="256"/>
      <c r="B1635" s="260"/>
      <c r="E1635" s="258"/>
      <c r="F1635" s="118"/>
    </row>
    <row r="1636" spans="1:6" s="99" customFormat="1" ht="12.75" x14ac:dyDescent="0.2">
      <c r="A1636" s="256"/>
      <c r="B1636" s="260"/>
      <c r="E1636" s="258"/>
      <c r="F1636" s="118"/>
    </row>
    <row r="1637" spans="1:6" s="99" customFormat="1" ht="12.75" x14ac:dyDescent="0.2">
      <c r="A1637" s="256"/>
      <c r="B1637" s="288"/>
      <c r="E1637" s="258"/>
      <c r="F1637" s="118"/>
    </row>
    <row r="1638" spans="1:6" s="99" customFormat="1" ht="12.75" x14ac:dyDescent="0.2">
      <c r="A1638" s="256"/>
      <c r="B1638" s="269"/>
      <c r="E1638" s="258"/>
      <c r="F1638" s="118"/>
    </row>
    <row r="1639" spans="1:6" s="99" customFormat="1" ht="12.75" x14ac:dyDescent="0.2">
      <c r="A1639" s="256"/>
      <c r="B1639" s="260"/>
      <c r="E1639" s="258"/>
      <c r="F1639" s="118"/>
    </row>
    <row r="1640" spans="1:6" s="99" customFormat="1" ht="12.75" x14ac:dyDescent="0.2">
      <c r="A1640" s="256"/>
      <c r="B1640" s="260"/>
      <c r="E1640" s="258"/>
      <c r="F1640" s="118"/>
    </row>
    <row r="1642" spans="1:6" s="99" customFormat="1" ht="12.75" x14ac:dyDescent="0.25">
      <c r="A1642" s="256"/>
      <c r="B1642" s="367"/>
      <c r="E1642" s="258"/>
      <c r="F1642" s="118"/>
    </row>
    <row r="1643" spans="1:6" s="99" customFormat="1" ht="12.75" x14ac:dyDescent="0.25">
      <c r="A1643" s="256"/>
      <c r="B1643" s="367"/>
      <c r="E1643" s="258"/>
      <c r="F1643" s="118"/>
    </row>
    <row r="1644" spans="1:6" s="99" customFormat="1" ht="12.75" x14ac:dyDescent="0.25">
      <c r="A1644" s="256"/>
      <c r="B1644" s="367"/>
      <c r="E1644" s="258"/>
      <c r="F1644" s="118"/>
    </row>
    <row r="1645" spans="1:6" x14ac:dyDescent="0.25">
      <c r="B1645" s="367"/>
    </row>
    <row r="1646" spans="1:6" ht="15.75" thickBot="1" x14ac:dyDescent="0.3">
      <c r="A1646" s="264"/>
      <c r="B1646" s="265"/>
      <c r="C1646" s="266"/>
      <c r="D1646" s="266"/>
      <c r="E1646" s="267"/>
      <c r="F1646" s="268"/>
    </row>
    <row r="1647" spans="1:6" x14ac:dyDescent="0.25">
      <c r="A1647" s="251"/>
      <c r="B1647" s="252"/>
      <c r="C1647" s="253"/>
      <c r="D1647" s="253"/>
      <c r="E1647" s="254"/>
      <c r="F1647" s="255"/>
    </row>
    <row r="1648" spans="1:6" x14ac:dyDescent="0.25">
      <c r="A1648" s="325"/>
      <c r="B1648" s="373"/>
      <c r="C1648" s="327"/>
      <c r="D1648" s="327"/>
      <c r="E1648" s="328"/>
      <c r="F1648" s="329"/>
    </row>
    <row r="1649" spans="1:6" x14ac:dyDescent="0.25">
      <c r="A1649" s="271"/>
      <c r="B1649" s="269"/>
      <c r="C1649" s="289"/>
      <c r="D1649" s="289"/>
      <c r="E1649" s="290"/>
      <c r="F1649" s="291"/>
    </row>
    <row r="1650" spans="1:6" x14ac:dyDescent="0.25">
      <c r="B1650" s="259"/>
      <c r="C1650" s="289"/>
      <c r="D1650" s="289"/>
      <c r="E1650" s="290"/>
      <c r="F1650" s="291"/>
    </row>
    <row r="1651" spans="1:6" x14ac:dyDescent="0.25">
      <c r="B1651" s="123"/>
    </row>
    <row r="1653" spans="1:6" x14ac:dyDescent="0.25">
      <c r="B1653" s="269"/>
    </row>
    <row r="1654" spans="1:6" x14ac:dyDescent="0.25">
      <c r="D1654" s="289"/>
    </row>
    <row r="1655" spans="1:6" x14ac:dyDescent="0.25">
      <c r="B1655" s="123"/>
    </row>
    <row r="1657" spans="1:6" x14ac:dyDescent="0.25">
      <c r="B1657" s="261"/>
    </row>
    <row r="1658" spans="1:6" x14ac:dyDescent="0.25">
      <c r="B1658" s="260"/>
    </row>
    <row r="1659" spans="1:6" x14ac:dyDescent="0.25">
      <c r="A1659" s="310"/>
      <c r="B1659" s="260"/>
      <c r="C1659" s="311"/>
      <c r="D1659" s="311"/>
      <c r="E1659" s="312"/>
      <c r="F1659" s="335"/>
    </row>
    <row r="1660" spans="1:6" x14ac:dyDescent="0.25">
      <c r="A1660" s="310"/>
      <c r="B1660" s="260"/>
      <c r="C1660" s="331"/>
      <c r="D1660" s="331"/>
      <c r="E1660" s="334"/>
      <c r="F1660" s="336"/>
    </row>
    <row r="1661" spans="1:6" x14ac:dyDescent="0.25">
      <c r="A1661" s="310"/>
      <c r="B1661" s="260"/>
      <c r="C1661" s="331"/>
      <c r="D1661" s="331"/>
      <c r="E1661" s="334"/>
      <c r="F1661" s="333"/>
    </row>
    <row r="1662" spans="1:6" x14ac:dyDescent="0.25">
      <c r="B1662" s="260"/>
    </row>
    <row r="1663" spans="1:6" x14ac:dyDescent="0.25">
      <c r="A1663" s="310"/>
      <c r="B1663" s="261"/>
      <c r="C1663" s="279"/>
      <c r="D1663" s="279"/>
      <c r="E1663" s="334"/>
      <c r="F1663" s="336"/>
    </row>
    <row r="1664" spans="1:6" x14ac:dyDescent="0.25">
      <c r="A1664" s="310"/>
      <c r="B1664" s="260"/>
      <c r="C1664" s="279"/>
      <c r="D1664" s="279"/>
      <c r="E1664" s="334"/>
      <c r="F1664" s="336"/>
    </row>
    <row r="1665" spans="1:6" x14ac:dyDescent="0.25">
      <c r="A1665" s="310"/>
      <c r="B1665" s="260"/>
      <c r="C1665" s="337"/>
      <c r="D1665" s="331"/>
      <c r="E1665" s="334"/>
      <c r="F1665" s="333"/>
    </row>
    <row r="1667" spans="1:6" x14ac:dyDescent="0.25">
      <c r="A1667" s="338"/>
      <c r="B1667" s="339"/>
      <c r="C1667" s="340"/>
      <c r="D1667" s="341"/>
      <c r="E1667" s="312"/>
      <c r="F1667" s="342"/>
    </row>
    <row r="1668" spans="1:6" x14ac:dyDescent="0.25">
      <c r="A1668" s="338"/>
      <c r="B1668" s="274"/>
      <c r="C1668" s="340"/>
      <c r="D1668" s="341"/>
      <c r="E1668" s="312"/>
      <c r="F1668" s="342"/>
    </row>
    <row r="1669" spans="1:6" x14ac:dyDescent="0.25">
      <c r="A1669" s="338"/>
      <c r="B1669" s="270"/>
      <c r="C1669" s="340"/>
      <c r="D1669" s="341"/>
      <c r="E1669" s="312"/>
      <c r="F1669" s="342"/>
    </row>
    <row r="1670" spans="1:6" x14ac:dyDescent="0.25">
      <c r="A1670" s="338"/>
      <c r="B1670" s="274"/>
      <c r="C1670" s="340"/>
      <c r="D1670" s="341"/>
      <c r="E1670" s="312"/>
      <c r="F1670" s="342"/>
    </row>
    <row r="1671" spans="1:6" x14ac:dyDescent="0.25">
      <c r="A1671" s="310"/>
      <c r="B1671" s="260"/>
      <c r="C1671" s="331"/>
      <c r="D1671" s="331"/>
      <c r="E1671" s="334"/>
      <c r="F1671" s="333"/>
    </row>
    <row r="1672" spans="1:6" x14ac:dyDescent="0.25">
      <c r="A1672" s="310"/>
      <c r="B1672" s="260"/>
      <c r="C1672" s="331"/>
      <c r="D1672" s="331"/>
      <c r="E1672" s="334"/>
      <c r="F1672" s="333"/>
    </row>
    <row r="1673" spans="1:6" x14ac:dyDescent="0.25">
      <c r="A1673" s="310"/>
      <c r="B1673" s="260"/>
      <c r="C1673" s="337"/>
      <c r="D1673" s="331"/>
      <c r="E1673" s="334"/>
      <c r="F1673" s="333"/>
    </row>
    <row r="1679" spans="1:6" ht="15.75" thickBot="1" x14ac:dyDescent="0.3">
      <c r="A1679" s="264"/>
      <c r="B1679" s="265"/>
      <c r="C1679" s="266"/>
      <c r="D1679" s="266"/>
      <c r="E1679" s="267"/>
      <c r="F1679" s="268"/>
    </row>
    <row r="1680" spans="1:6" x14ac:dyDescent="0.25">
      <c r="A1680" s="251"/>
      <c r="B1680" s="252"/>
      <c r="C1680" s="253"/>
      <c r="D1680" s="253"/>
      <c r="E1680" s="254"/>
      <c r="F1680" s="255"/>
    </row>
    <row r="1681" spans="1:6" x14ac:dyDescent="0.25">
      <c r="B1681" s="276"/>
      <c r="F1681" s="277"/>
    </row>
    <row r="1682" spans="1:6" x14ac:dyDescent="0.25">
      <c r="B1682" s="369"/>
    </row>
    <row r="1684" spans="1:6" x14ac:dyDescent="0.25">
      <c r="B1684" s="370"/>
    </row>
    <row r="1686" spans="1:6" ht="15.75" thickBot="1" x14ac:dyDescent="0.3">
      <c r="A1686" s="264"/>
      <c r="B1686" s="265"/>
      <c r="C1686" s="266"/>
      <c r="D1686" s="266"/>
      <c r="E1686" s="267"/>
      <c r="F1686" s="268"/>
    </row>
    <row r="1688" spans="1:6" x14ac:dyDescent="0.25">
      <c r="B1688" s="276"/>
      <c r="F1688" s="277"/>
    </row>
    <row r="1689" spans="1:6" x14ac:dyDescent="0.25">
      <c r="F1689" s="277"/>
    </row>
    <row r="1690" spans="1:6" x14ac:dyDescent="0.25">
      <c r="B1690" s="276"/>
      <c r="F1690" s="277"/>
    </row>
    <row r="1691" spans="1:6" x14ac:dyDescent="0.25">
      <c r="F1691" s="277"/>
    </row>
    <row r="1692" spans="1:6" x14ac:dyDescent="0.25">
      <c r="B1692" s="276"/>
      <c r="F1692" s="277"/>
    </row>
    <row r="1693" spans="1:6" x14ac:dyDescent="0.25">
      <c r="B1693" s="276"/>
      <c r="F1693" s="277"/>
    </row>
    <row r="1694" spans="1:6" x14ac:dyDescent="0.25">
      <c r="B1694" s="276"/>
      <c r="F1694" s="277"/>
    </row>
    <row r="1695" spans="1:6" x14ac:dyDescent="0.25">
      <c r="B1695" s="276"/>
      <c r="F1695" s="277"/>
    </row>
    <row r="1696" spans="1:6" x14ac:dyDescent="0.25">
      <c r="B1696" s="276"/>
      <c r="F1696" s="277"/>
    </row>
    <row r="1697" spans="2:6" x14ac:dyDescent="0.25">
      <c r="B1697" s="276"/>
      <c r="F1697" s="277"/>
    </row>
    <row r="1698" spans="2:6" x14ac:dyDescent="0.25">
      <c r="B1698" s="276"/>
      <c r="F1698" s="277"/>
    </row>
    <row r="1699" spans="2:6" x14ac:dyDescent="0.25">
      <c r="B1699" s="276"/>
      <c r="F1699" s="277"/>
    </row>
    <row r="1705" spans="2:6" x14ac:dyDescent="0.25">
      <c r="B1705" s="276"/>
      <c r="F1705" s="277"/>
    </row>
    <row r="1706" spans="2:6" x14ac:dyDescent="0.25">
      <c r="B1706" s="276"/>
      <c r="F1706" s="277"/>
    </row>
    <row r="1707" spans="2:6" x14ac:dyDescent="0.25">
      <c r="B1707" s="276"/>
      <c r="F1707" s="277"/>
    </row>
    <row r="1708" spans="2:6" x14ac:dyDescent="0.25">
      <c r="B1708" s="276"/>
      <c r="F1708" s="277"/>
    </row>
    <row r="1709" spans="2:6" x14ac:dyDescent="0.25">
      <c r="B1709" s="276"/>
      <c r="F1709" s="277"/>
    </row>
    <row r="1710" spans="2:6" x14ac:dyDescent="0.25">
      <c r="B1710" s="276"/>
      <c r="F1710" s="277"/>
    </row>
    <row r="1711" spans="2:6" x14ac:dyDescent="0.25">
      <c r="B1711" s="276"/>
      <c r="F1711" s="277"/>
    </row>
    <row r="1712" spans="2:6" x14ac:dyDescent="0.25">
      <c r="B1712" s="276"/>
      <c r="F1712" s="277"/>
    </row>
    <row r="1713" spans="1:6" x14ac:dyDescent="0.25">
      <c r="B1713" s="276"/>
      <c r="F1713" s="277"/>
    </row>
    <row r="1714" spans="1:6" x14ac:dyDescent="0.25">
      <c r="B1714" s="276"/>
      <c r="F1714" s="277"/>
    </row>
    <row r="1715" spans="1:6" x14ac:dyDescent="0.25">
      <c r="B1715" s="276"/>
      <c r="F1715" s="277"/>
    </row>
    <row r="1716" spans="1:6" x14ac:dyDescent="0.25">
      <c r="B1716" s="276"/>
      <c r="F1716" s="277"/>
    </row>
    <row r="1717" spans="1:6" x14ac:dyDescent="0.25">
      <c r="B1717" s="276"/>
      <c r="F1717" s="277"/>
    </row>
    <row r="1718" spans="1:6" x14ac:dyDescent="0.25">
      <c r="B1718" s="276"/>
      <c r="F1718" s="277"/>
    </row>
    <row r="1719" spans="1:6" ht="15.75" thickBot="1" x14ac:dyDescent="0.3">
      <c r="A1719" s="264"/>
      <c r="B1719" s="300"/>
      <c r="C1719" s="266"/>
      <c r="D1719" s="266"/>
      <c r="E1719" s="267"/>
      <c r="F1719" s="268"/>
    </row>
    <row r="1720" spans="1:6" x14ac:dyDescent="0.25">
      <c r="A1720" s="251"/>
      <c r="B1720" s="352"/>
      <c r="C1720" s="253"/>
      <c r="D1720" s="253"/>
      <c r="E1720" s="254"/>
      <c r="F1720" s="255"/>
    </row>
    <row r="1721" spans="1:6" x14ac:dyDescent="0.25">
      <c r="B1721" s="350"/>
      <c r="F1721" s="277"/>
    </row>
    <row r="1722" spans="1:6" x14ac:dyDescent="0.25">
      <c r="A1722" s="304"/>
      <c r="B1722" s="353"/>
      <c r="C1722" s="306"/>
      <c r="D1722" s="306"/>
      <c r="E1722" s="307"/>
      <c r="F1722" s="308"/>
    </row>
    <row r="1723" spans="1:6" x14ac:dyDescent="0.25">
      <c r="A1723" s="310"/>
      <c r="B1723" s="270"/>
      <c r="C1723" s="311"/>
      <c r="D1723" s="311"/>
      <c r="E1723" s="312"/>
      <c r="F1723" s="313"/>
    </row>
    <row r="1724" spans="1:6" x14ac:dyDescent="0.25">
      <c r="A1724" s="310"/>
      <c r="B1724" s="270"/>
      <c r="C1724" s="311"/>
      <c r="D1724" s="311"/>
      <c r="E1724" s="312"/>
      <c r="F1724" s="313"/>
    </row>
    <row r="1725" spans="1:6" x14ac:dyDescent="0.25">
      <c r="A1725" s="310"/>
      <c r="B1725" s="270"/>
      <c r="C1725" s="311"/>
      <c r="D1725" s="311"/>
      <c r="E1725" s="312"/>
      <c r="F1725" s="313"/>
    </row>
    <row r="1726" spans="1:6" x14ac:dyDescent="0.25">
      <c r="A1726" s="310"/>
      <c r="B1726" s="270"/>
      <c r="C1726" s="311"/>
      <c r="D1726" s="311"/>
      <c r="E1726" s="312"/>
      <c r="F1726" s="313"/>
    </row>
    <row r="1727" spans="1:6" x14ac:dyDescent="0.25">
      <c r="A1727" s="310"/>
      <c r="B1727" s="288"/>
      <c r="C1727" s="311"/>
      <c r="D1727" s="311"/>
      <c r="E1727" s="312"/>
      <c r="F1727" s="313"/>
    </row>
    <row r="1728" spans="1:6" x14ac:dyDescent="0.25">
      <c r="A1728" s="310"/>
      <c r="B1728" s="295"/>
      <c r="C1728" s="311"/>
      <c r="D1728" s="311"/>
      <c r="E1728" s="312"/>
      <c r="F1728" s="313"/>
    </row>
    <row r="1729" spans="1:6" x14ac:dyDescent="0.25">
      <c r="A1729" s="310"/>
      <c r="B1729" s="295"/>
      <c r="C1729" s="311"/>
      <c r="D1729" s="311"/>
      <c r="E1729" s="312"/>
      <c r="F1729" s="313"/>
    </row>
    <row r="1730" spans="1:6" x14ac:dyDescent="0.25">
      <c r="A1730" s="310"/>
      <c r="B1730" s="295"/>
      <c r="C1730" s="311"/>
      <c r="D1730" s="311"/>
      <c r="E1730" s="312"/>
      <c r="F1730" s="313"/>
    </row>
    <row r="1731" spans="1:6" x14ac:dyDescent="0.25">
      <c r="A1731" s="310"/>
      <c r="B1731" s="295"/>
      <c r="C1731" s="311"/>
      <c r="D1731" s="311"/>
      <c r="E1731" s="312"/>
      <c r="F1731" s="313"/>
    </row>
    <row r="1732" spans="1:6" x14ac:dyDescent="0.25">
      <c r="A1732" s="310"/>
      <c r="B1732" s="270"/>
      <c r="C1732" s="311"/>
      <c r="D1732" s="311"/>
      <c r="E1732" s="312"/>
      <c r="F1732" s="313"/>
    </row>
    <row r="1733" spans="1:6" x14ac:dyDescent="0.25">
      <c r="A1733" s="310"/>
      <c r="B1733" s="295"/>
      <c r="C1733" s="311"/>
      <c r="D1733" s="311"/>
      <c r="E1733" s="312"/>
      <c r="F1733" s="313"/>
    </row>
    <row r="1734" spans="1:6" x14ac:dyDescent="0.25">
      <c r="A1734" s="310"/>
      <c r="B1734" s="270"/>
      <c r="C1734" s="311"/>
      <c r="D1734" s="311"/>
      <c r="E1734" s="312"/>
      <c r="F1734" s="313"/>
    </row>
    <row r="1735" spans="1:6" x14ac:dyDescent="0.25">
      <c r="A1735" s="310"/>
      <c r="B1735" s="295"/>
      <c r="C1735" s="311"/>
      <c r="D1735" s="311"/>
      <c r="E1735" s="312"/>
      <c r="F1735" s="313"/>
    </row>
    <row r="1736" spans="1:6" x14ac:dyDescent="0.25">
      <c r="A1736" s="310"/>
      <c r="B1736" s="270"/>
      <c r="C1736" s="311"/>
      <c r="D1736" s="311"/>
      <c r="E1736" s="312"/>
      <c r="F1736" s="313"/>
    </row>
    <row r="1737" spans="1:6" x14ac:dyDescent="0.25">
      <c r="A1737" s="310"/>
      <c r="B1737" s="288"/>
      <c r="C1737" s="311"/>
      <c r="D1737" s="311"/>
      <c r="E1737" s="312"/>
      <c r="F1737" s="313"/>
    </row>
    <row r="1738" spans="1:6" x14ac:dyDescent="0.25">
      <c r="A1738" s="338"/>
      <c r="B1738" s="274"/>
      <c r="C1738" s="340"/>
      <c r="D1738" s="340"/>
      <c r="E1738" s="312"/>
      <c r="F1738" s="354"/>
    </row>
    <row r="1739" spans="1:6" x14ac:dyDescent="0.25">
      <c r="A1739" s="310"/>
      <c r="B1739" s="355"/>
      <c r="C1739" s="311"/>
      <c r="D1739" s="311"/>
      <c r="E1739" s="312"/>
      <c r="F1739" s="313"/>
    </row>
    <row r="1740" spans="1:6" x14ac:dyDescent="0.25">
      <c r="A1740" s="310"/>
      <c r="B1740" s="295"/>
      <c r="C1740" s="311"/>
      <c r="D1740" s="311"/>
      <c r="E1740" s="312"/>
      <c r="F1740" s="313"/>
    </row>
    <row r="1741" spans="1:6" x14ac:dyDescent="0.25">
      <c r="A1741" s="310"/>
      <c r="B1741" s="355"/>
      <c r="C1741" s="311"/>
      <c r="D1741" s="311"/>
      <c r="E1741" s="312"/>
      <c r="F1741" s="313"/>
    </row>
    <row r="1742" spans="1:6" x14ac:dyDescent="0.25">
      <c r="A1742" s="310"/>
      <c r="B1742" s="295"/>
      <c r="C1742" s="311"/>
      <c r="D1742" s="311"/>
      <c r="E1742" s="312"/>
      <c r="F1742" s="313"/>
    </row>
    <row r="1743" spans="1:6" x14ac:dyDescent="0.25">
      <c r="A1743" s="310"/>
      <c r="B1743" s="295"/>
      <c r="C1743" s="311"/>
      <c r="D1743" s="311"/>
      <c r="E1743" s="312"/>
      <c r="F1743" s="313"/>
    </row>
    <row r="1744" spans="1:6" x14ac:dyDescent="0.25">
      <c r="A1744" s="310"/>
      <c r="B1744" s="295"/>
      <c r="C1744" s="311"/>
      <c r="D1744" s="311"/>
      <c r="E1744" s="312"/>
      <c r="F1744" s="313"/>
    </row>
    <row r="1745" spans="1:6" x14ac:dyDescent="0.25">
      <c r="A1745" s="310"/>
      <c r="B1745" s="295"/>
      <c r="C1745" s="311"/>
      <c r="D1745" s="311"/>
      <c r="E1745" s="312"/>
      <c r="F1745" s="313"/>
    </row>
    <row r="1746" spans="1:6" x14ac:dyDescent="0.25">
      <c r="A1746" s="310"/>
      <c r="B1746" s="295"/>
      <c r="C1746" s="311"/>
      <c r="D1746" s="311"/>
      <c r="E1746" s="312"/>
      <c r="F1746" s="313"/>
    </row>
    <row r="1747" spans="1:6" x14ac:dyDescent="0.25">
      <c r="A1747" s="310"/>
      <c r="B1747" s="295"/>
      <c r="C1747" s="311"/>
      <c r="D1747" s="311"/>
      <c r="E1747" s="312"/>
      <c r="F1747" s="313"/>
    </row>
    <row r="1748" spans="1:6" x14ac:dyDescent="0.25">
      <c r="A1748" s="310"/>
      <c r="B1748" s="295"/>
      <c r="C1748" s="311"/>
      <c r="D1748" s="311"/>
      <c r="E1748" s="312"/>
      <c r="F1748" s="313"/>
    </row>
    <row r="1749" spans="1:6" x14ac:dyDescent="0.25">
      <c r="B1749" s="350"/>
      <c r="F1749" s="277"/>
    </row>
    <row r="1750" spans="1:6" x14ac:dyDescent="0.25">
      <c r="A1750" s="310"/>
      <c r="B1750" s="270"/>
      <c r="C1750" s="311"/>
      <c r="D1750" s="311"/>
      <c r="E1750" s="322"/>
      <c r="F1750" s="313"/>
    </row>
    <row r="1751" spans="1:6" x14ac:dyDescent="0.25">
      <c r="A1751" s="310"/>
      <c r="B1751" s="270"/>
      <c r="C1751" s="311"/>
      <c r="D1751" s="311"/>
      <c r="E1751" s="322"/>
      <c r="F1751" s="313"/>
    </row>
    <row r="1752" spans="1:6" x14ac:dyDescent="0.25">
      <c r="A1752" s="310"/>
      <c r="B1752" s="270"/>
      <c r="C1752" s="311"/>
      <c r="D1752" s="311"/>
      <c r="E1752" s="322"/>
      <c r="F1752" s="313"/>
    </row>
    <row r="1753" spans="1:6" x14ac:dyDescent="0.25">
      <c r="A1753" s="310"/>
      <c r="B1753" s="295"/>
      <c r="C1753" s="311"/>
      <c r="D1753" s="311"/>
      <c r="E1753" s="322"/>
      <c r="F1753" s="313"/>
    </row>
    <row r="1754" spans="1:6" x14ac:dyDescent="0.25">
      <c r="A1754" s="310"/>
      <c r="B1754" s="295"/>
      <c r="C1754" s="311"/>
      <c r="D1754" s="311"/>
      <c r="E1754" s="322"/>
      <c r="F1754" s="313"/>
    </row>
    <row r="1755" spans="1:6" x14ac:dyDescent="0.25">
      <c r="B1755" s="350"/>
      <c r="F1755" s="277"/>
    </row>
    <row r="1756" spans="1:6" x14ac:dyDescent="0.25">
      <c r="B1756" s="350"/>
      <c r="F1756" s="277"/>
    </row>
    <row r="1757" spans="1:6" x14ac:dyDescent="0.25">
      <c r="B1757" s="350"/>
      <c r="F1757" s="277"/>
    </row>
    <row r="1758" spans="1:6" x14ac:dyDescent="0.25">
      <c r="B1758" s="350"/>
      <c r="F1758" s="277"/>
    </row>
    <row r="1759" spans="1:6" ht="15.75" thickBot="1" x14ac:dyDescent="0.3">
      <c r="A1759" s="264"/>
      <c r="B1759" s="265"/>
      <c r="C1759" s="266"/>
      <c r="D1759" s="266"/>
      <c r="E1759" s="267"/>
      <c r="F1759" s="268"/>
    </row>
    <row r="1760" spans="1:6" x14ac:dyDescent="0.25">
      <c r="A1760" s="251"/>
      <c r="B1760" s="352"/>
      <c r="C1760" s="253"/>
      <c r="D1760" s="253"/>
      <c r="E1760" s="254"/>
      <c r="F1760" s="255"/>
    </row>
    <row r="1761" spans="1:6" x14ac:dyDescent="0.25">
      <c r="B1761" s="350"/>
      <c r="F1761" s="277"/>
    </row>
    <row r="1762" spans="1:6" x14ac:dyDescent="0.25">
      <c r="A1762" s="310"/>
      <c r="B1762" s="305"/>
      <c r="C1762" s="311"/>
      <c r="D1762" s="311"/>
      <c r="E1762" s="312"/>
      <c r="F1762" s="313"/>
    </row>
    <row r="1763" spans="1:6" x14ac:dyDescent="0.25">
      <c r="A1763" s="310"/>
      <c r="B1763" s="305"/>
      <c r="C1763" s="311"/>
      <c r="D1763" s="311"/>
      <c r="E1763" s="312"/>
      <c r="F1763" s="313"/>
    </row>
    <row r="1764" spans="1:6" x14ac:dyDescent="0.25">
      <c r="A1764" s="310"/>
      <c r="B1764" s="305"/>
      <c r="C1764" s="311"/>
      <c r="D1764" s="311"/>
      <c r="E1764" s="312"/>
      <c r="F1764" s="313"/>
    </row>
    <row r="1765" spans="1:6" x14ac:dyDescent="0.25">
      <c r="A1765" s="310"/>
      <c r="B1765" s="305"/>
      <c r="C1765" s="311"/>
      <c r="D1765" s="311"/>
      <c r="E1765" s="312"/>
      <c r="F1765" s="313"/>
    </row>
    <row r="1766" spans="1:6" x14ac:dyDescent="0.25">
      <c r="A1766" s="310"/>
      <c r="B1766" s="356"/>
      <c r="C1766" s="311"/>
      <c r="D1766" s="311"/>
      <c r="E1766" s="312"/>
      <c r="F1766" s="313"/>
    </row>
    <row r="1767" spans="1:6" x14ac:dyDescent="0.25">
      <c r="A1767" s="310"/>
      <c r="B1767" s="356"/>
      <c r="C1767" s="311"/>
      <c r="D1767" s="311"/>
      <c r="E1767" s="312"/>
      <c r="F1767" s="313"/>
    </row>
    <row r="1768" spans="1:6" x14ac:dyDescent="0.25">
      <c r="A1768" s="310"/>
      <c r="B1768" s="356"/>
      <c r="C1768" s="311"/>
      <c r="D1768" s="311"/>
      <c r="E1768" s="312"/>
      <c r="F1768" s="313"/>
    </row>
    <row r="1769" spans="1:6" x14ac:dyDescent="0.25">
      <c r="A1769" s="310"/>
      <c r="B1769" s="356"/>
      <c r="C1769" s="311"/>
      <c r="D1769" s="311"/>
      <c r="E1769" s="312"/>
      <c r="F1769" s="313"/>
    </row>
    <row r="1770" spans="1:6" x14ac:dyDescent="0.25">
      <c r="A1770" s="310"/>
      <c r="B1770" s="356"/>
      <c r="C1770" s="311"/>
      <c r="D1770" s="311"/>
      <c r="E1770" s="312"/>
      <c r="F1770" s="313"/>
    </row>
    <row r="1771" spans="1:6" x14ac:dyDescent="0.25">
      <c r="A1771" s="310"/>
      <c r="B1771" s="356"/>
      <c r="C1771" s="311"/>
      <c r="D1771" s="311"/>
      <c r="E1771" s="312"/>
      <c r="F1771" s="313"/>
    </row>
    <row r="1772" spans="1:6" x14ac:dyDescent="0.25">
      <c r="A1772" s="310"/>
      <c r="B1772" s="356"/>
      <c r="C1772" s="311"/>
      <c r="D1772" s="311"/>
      <c r="E1772" s="312"/>
      <c r="F1772" s="313"/>
    </row>
    <row r="1773" spans="1:6" x14ac:dyDescent="0.25">
      <c r="A1773" s="310"/>
      <c r="B1773" s="356"/>
      <c r="C1773" s="311"/>
      <c r="D1773" s="311"/>
      <c r="E1773" s="312"/>
      <c r="F1773" s="313"/>
    </row>
    <row r="1774" spans="1:6" x14ac:dyDescent="0.25">
      <c r="A1774" s="310"/>
      <c r="B1774" s="356"/>
      <c r="C1774" s="311"/>
      <c r="D1774" s="311"/>
      <c r="E1774" s="312"/>
      <c r="F1774" s="313"/>
    </row>
    <row r="1775" spans="1:6" x14ac:dyDescent="0.25">
      <c r="B1775" s="299"/>
    </row>
    <row r="1776" spans="1:6" x14ac:dyDescent="0.25">
      <c r="A1776" s="310"/>
      <c r="B1776" s="305"/>
      <c r="C1776" s="311"/>
      <c r="D1776" s="311"/>
      <c r="E1776" s="312"/>
      <c r="F1776" s="313"/>
    </row>
    <row r="1777" spans="1:6" x14ac:dyDescent="0.25">
      <c r="A1777" s="310"/>
      <c r="B1777" s="305"/>
      <c r="C1777" s="311"/>
      <c r="D1777" s="311"/>
      <c r="E1777" s="312"/>
      <c r="F1777" s="313"/>
    </row>
    <row r="1778" spans="1:6" x14ac:dyDescent="0.25">
      <c r="A1778" s="310"/>
      <c r="B1778" s="356"/>
      <c r="C1778" s="311"/>
      <c r="D1778" s="311"/>
      <c r="E1778" s="312"/>
      <c r="F1778" s="313"/>
    </row>
    <row r="1779" spans="1:6" x14ac:dyDescent="0.25">
      <c r="A1779" s="310"/>
      <c r="B1779" s="356"/>
      <c r="C1779" s="311"/>
      <c r="D1779" s="311"/>
      <c r="E1779" s="312"/>
      <c r="F1779" s="313"/>
    </row>
    <row r="1780" spans="1:6" x14ac:dyDescent="0.25">
      <c r="A1780" s="310"/>
      <c r="B1780" s="356"/>
      <c r="C1780" s="311"/>
      <c r="D1780" s="311"/>
      <c r="E1780" s="312"/>
      <c r="F1780" s="313"/>
    </row>
    <row r="1782" spans="1:6" x14ac:dyDescent="0.25">
      <c r="A1782" s="310"/>
      <c r="B1782" s="302"/>
      <c r="C1782" s="311"/>
      <c r="D1782" s="311"/>
      <c r="E1782" s="312"/>
      <c r="F1782" s="313"/>
    </row>
    <row r="1783" spans="1:6" x14ac:dyDescent="0.25">
      <c r="A1783" s="310"/>
      <c r="B1783" s="302"/>
      <c r="C1783" s="311"/>
      <c r="D1783" s="311"/>
      <c r="E1783" s="312"/>
      <c r="F1783" s="313"/>
    </row>
    <row r="1784" spans="1:6" x14ac:dyDescent="0.25">
      <c r="A1784" s="310"/>
      <c r="B1784" s="302"/>
      <c r="C1784" s="311"/>
      <c r="D1784" s="311"/>
      <c r="E1784" s="312"/>
      <c r="F1784" s="313"/>
    </row>
    <row r="1785" spans="1:6" x14ac:dyDescent="0.25">
      <c r="A1785" s="310"/>
      <c r="B1785" s="302"/>
      <c r="C1785" s="311"/>
      <c r="D1785" s="311"/>
      <c r="E1785" s="312"/>
      <c r="F1785" s="313"/>
    </row>
    <row r="1786" spans="1:6" x14ac:dyDescent="0.25">
      <c r="A1786" s="310"/>
      <c r="B1786" s="260"/>
      <c r="C1786" s="311"/>
      <c r="D1786" s="311"/>
      <c r="E1786" s="312"/>
      <c r="F1786" s="313"/>
    </row>
    <row r="1788" spans="1:6" ht="15.75" thickBot="1" x14ac:dyDescent="0.3">
      <c r="A1788" s="264"/>
      <c r="B1788" s="265"/>
      <c r="C1788" s="266"/>
      <c r="D1788" s="266"/>
      <c r="E1788" s="267"/>
      <c r="F1788" s="268"/>
    </row>
    <row r="1790" spans="1:6" x14ac:dyDescent="0.25">
      <c r="B1790" s="276"/>
    </row>
    <row r="1792" spans="1:6" x14ac:dyDescent="0.25">
      <c r="B1792" s="276"/>
    </row>
    <row r="1793" spans="1:6" x14ac:dyDescent="0.25">
      <c r="B1793" s="299"/>
    </row>
    <row r="1794" spans="1:6" x14ac:dyDescent="0.25">
      <c r="B1794" s="299"/>
    </row>
    <row r="1795" spans="1:6" x14ac:dyDescent="0.25">
      <c r="B1795" s="299"/>
    </row>
    <row r="1796" spans="1:6" x14ac:dyDescent="0.25">
      <c r="B1796" s="299"/>
    </row>
    <row r="1797" spans="1:6" x14ac:dyDescent="0.25">
      <c r="B1797" s="299"/>
    </row>
    <row r="1799" spans="1:6" ht="15.75" thickBot="1" x14ac:dyDescent="0.3">
      <c r="A1799" s="264"/>
      <c r="B1799" s="300"/>
      <c r="C1799" s="266"/>
      <c r="D1799" s="266"/>
      <c r="E1799" s="267"/>
      <c r="F1799" s="268"/>
    </row>
    <row r="1800" spans="1:6" x14ac:dyDescent="0.25">
      <c r="A1800" s="251"/>
      <c r="B1800" s="252"/>
      <c r="C1800" s="253"/>
      <c r="D1800" s="253"/>
      <c r="E1800" s="254"/>
      <c r="F1800" s="255"/>
    </row>
    <row r="1801" spans="1:6" x14ac:dyDescent="0.25">
      <c r="B1801" s="276"/>
      <c r="E1801" s="99"/>
    </row>
    <row r="1802" spans="1:6" x14ac:dyDescent="0.25">
      <c r="B1802" s="357"/>
      <c r="C1802" s="358"/>
      <c r="E1802" s="99"/>
      <c r="F1802" s="277"/>
    </row>
    <row r="1803" spans="1:6" x14ac:dyDescent="0.25">
      <c r="B1803" s="298"/>
      <c r="E1803" s="99"/>
      <c r="F1803" s="277"/>
    </row>
    <row r="1804" spans="1:6" x14ac:dyDescent="0.25">
      <c r="A1804" s="359"/>
      <c r="B1804" s="360"/>
      <c r="E1804" s="99"/>
      <c r="F1804" s="277"/>
    </row>
    <row r="1805" spans="1:6" x14ac:dyDescent="0.25">
      <c r="A1805" s="359"/>
      <c r="B1805" s="298"/>
      <c r="E1805" s="99"/>
      <c r="F1805" s="277"/>
    </row>
    <row r="1806" spans="1:6" x14ac:dyDescent="0.25">
      <c r="A1806" s="359"/>
      <c r="B1806" s="360"/>
      <c r="E1806" s="99"/>
      <c r="F1806" s="277"/>
    </row>
    <row r="1807" spans="1:6" x14ac:dyDescent="0.25">
      <c r="A1807" s="359"/>
      <c r="B1807" s="298"/>
      <c r="E1807" s="99"/>
      <c r="F1807" s="277"/>
    </row>
    <row r="1808" spans="1:6" x14ac:dyDescent="0.25">
      <c r="A1808" s="359"/>
      <c r="B1808" s="360"/>
      <c r="E1808" s="99"/>
      <c r="F1808" s="277"/>
    </row>
    <row r="1809" spans="1:6" x14ac:dyDescent="0.25">
      <c r="A1809" s="359"/>
      <c r="B1809" s="360"/>
      <c r="E1809" s="99"/>
      <c r="F1809" s="277"/>
    </row>
    <row r="1810" spans="1:6" x14ac:dyDescent="0.25">
      <c r="A1810" s="359"/>
      <c r="B1810" s="360"/>
      <c r="E1810" s="99"/>
      <c r="F1810" s="277"/>
    </row>
    <row r="1811" spans="1:6" x14ac:dyDescent="0.25">
      <c r="A1811" s="359"/>
      <c r="B1811" s="360"/>
      <c r="E1811" s="99"/>
      <c r="F1811" s="277"/>
    </row>
    <row r="1812" spans="1:6" x14ac:dyDescent="0.25">
      <c r="A1812" s="359"/>
      <c r="B1812" s="360"/>
      <c r="E1812" s="99"/>
      <c r="F1812" s="277"/>
    </row>
    <row r="1813" spans="1:6" x14ac:dyDescent="0.25">
      <c r="A1813" s="310"/>
      <c r="B1813" s="260"/>
      <c r="C1813" s="279"/>
      <c r="D1813" s="279"/>
      <c r="E1813" s="334"/>
      <c r="F1813" s="336"/>
    </row>
    <row r="1814" spans="1:6" x14ac:dyDescent="0.25">
      <c r="A1814" s="304"/>
      <c r="B1814" s="309"/>
      <c r="C1814" s="337"/>
      <c r="D1814" s="331"/>
      <c r="E1814" s="334"/>
      <c r="F1814" s="333"/>
    </row>
    <row r="1815" spans="1:6" x14ac:dyDescent="0.25">
      <c r="A1815" s="325"/>
      <c r="B1815" s="326"/>
      <c r="C1815" s="327"/>
      <c r="D1815" s="327"/>
      <c r="E1815" s="328"/>
      <c r="F1815" s="329"/>
    </row>
    <row r="1816" spans="1:6" x14ac:dyDescent="0.25">
      <c r="A1816" s="338"/>
      <c r="B1816" s="339"/>
      <c r="C1816" s="340"/>
      <c r="D1816" s="341"/>
      <c r="E1816" s="312"/>
      <c r="F1816" s="342"/>
    </row>
    <row r="1817" spans="1:6" x14ac:dyDescent="0.25">
      <c r="A1817" s="338"/>
      <c r="B1817" s="274"/>
      <c r="C1817" s="340"/>
      <c r="D1817" s="341"/>
      <c r="E1817" s="312"/>
      <c r="F1817" s="342"/>
    </row>
    <row r="1818" spans="1:6" x14ac:dyDescent="0.25">
      <c r="A1818" s="338"/>
      <c r="B1818" s="270"/>
      <c r="C1818" s="340"/>
      <c r="D1818" s="341"/>
      <c r="E1818" s="312"/>
      <c r="F1818" s="342"/>
    </row>
    <row r="1819" spans="1:6" x14ac:dyDescent="0.25">
      <c r="A1819" s="338"/>
      <c r="B1819" s="274"/>
      <c r="C1819" s="340"/>
      <c r="D1819" s="341"/>
      <c r="E1819" s="312"/>
      <c r="F1819" s="342"/>
    </row>
    <row r="1820" spans="1:6" x14ac:dyDescent="0.25">
      <c r="A1820" s="310"/>
      <c r="B1820" s="260"/>
      <c r="C1820" s="331"/>
      <c r="D1820" s="331"/>
      <c r="E1820" s="334"/>
      <c r="F1820" s="333"/>
    </row>
    <row r="1821" spans="1:6" x14ac:dyDescent="0.25">
      <c r="A1821" s="310"/>
      <c r="B1821" s="260"/>
      <c r="C1821" s="331"/>
      <c r="D1821" s="331"/>
      <c r="E1821" s="334"/>
      <c r="F1821" s="333"/>
    </row>
    <row r="1822" spans="1:6" x14ac:dyDescent="0.25">
      <c r="A1822" s="310"/>
      <c r="B1822" s="260"/>
      <c r="C1822" s="337"/>
      <c r="D1822" s="331"/>
      <c r="E1822" s="334"/>
      <c r="F1822" s="333"/>
    </row>
    <row r="1823" spans="1:6" x14ac:dyDescent="0.25">
      <c r="B1823" s="260"/>
    </row>
    <row r="1824" spans="1:6" x14ac:dyDescent="0.25">
      <c r="B1824" s="260"/>
    </row>
    <row r="1825" spans="1:6" x14ac:dyDescent="0.25">
      <c r="B1825" s="260"/>
    </row>
    <row r="1826" spans="1:6" x14ac:dyDescent="0.25">
      <c r="B1826" s="260"/>
    </row>
    <row r="1827" spans="1:6" s="99" customFormat="1" ht="12.75" x14ac:dyDescent="0.2">
      <c r="A1827" s="256"/>
      <c r="B1827" s="260"/>
      <c r="E1827" s="258"/>
      <c r="F1827" s="118"/>
    </row>
    <row r="1828" spans="1:6" s="99" customFormat="1" ht="12.75" x14ac:dyDescent="0.2">
      <c r="A1828" s="256"/>
      <c r="B1828" s="274"/>
      <c r="E1828" s="258"/>
      <c r="F1828" s="118"/>
    </row>
    <row r="1833" spans="1:6" s="99" customFormat="1" ht="12.75" x14ac:dyDescent="0.2">
      <c r="A1833" s="256"/>
      <c r="B1833" s="260"/>
      <c r="E1833" s="258"/>
      <c r="F1833" s="118"/>
    </row>
    <row r="1834" spans="1:6" s="99" customFormat="1" ht="12.75" x14ac:dyDescent="0.2">
      <c r="A1834" s="256"/>
      <c r="B1834" s="260"/>
      <c r="E1834" s="258"/>
      <c r="F1834" s="118"/>
    </row>
    <row r="1835" spans="1:6" s="99" customFormat="1" ht="12.75" x14ac:dyDescent="0.2">
      <c r="A1835" s="256"/>
      <c r="B1835" s="260"/>
      <c r="E1835" s="258"/>
      <c r="F1835" s="118"/>
    </row>
    <row r="1836" spans="1:6" s="99" customFormat="1" ht="12.75" x14ac:dyDescent="0.2">
      <c r="A1836" s="256"/>
      <c r="B1836" s="260"/>
      <c r="E1836" s="258"/>
      <c r="F1836" s="118"/>
    </row>
    <row r="1837" spans="1:6" s="99" customFormat="1" ht="12.75" x14ac:dyDescent="0.2">
      <c r="A1837" s="256"/>
      <c r="B1837" s="260"/>
      <c r="E1837" s="258"/>
      <c r="F1837" s="118"/>
    </row>
    <row r="1838" spans="1:6" s="99" customFormat="1" ht="12.75" x14ac:dyDescent="0.2">
      <c r="A1838" s="256"/>
      <c r="B1838" s="260"/>
      <c r="E1838" s="258"/>
      <c r="F1838" s="118"/>
    </row>
    <row r="1839" spans="1:6" s="99" customFormat="1" ht="12.75" x14ac:dyDescent="0.2">
      <c r="A1839" s="256"/>
      <c r="B1839" s="260"/>
      <c r="E1839" s="258"/>
      <c r="F1839" s="118"/>
    </row>
    <row r="1840" spans="1:6" s="99" customFormat="1" ht="12.75" x14ac:dyDescent="0.2">
      <c r="A1840" s="256"/>
      <c r="B1840" s="260"/>
      <c r="E1840" s="258"/>
      <c r="F1840" s="118"/>
    </row>
    <row r="1841" spans="1:6" s="99" customFormat="1" ht="12.75" x14ac:dyDescent="0.2">
      <c r="A1841" s="256"/>
      <c r="B1841" s="260"/>
      <c r="E1841" s="258"/>
      <c r="F1841" s="118"/>
    </row>
    <row r="1842" spans="1:6" s="99" customFormat="1" ht="12.75" x14ac:dyDescent="0.2">
      <c r="A1842" s="256"/>
      <c r="B1842" s="260"/>
      <c r="E1842" s="258"/>
      <c r="F1842" s="118"/>
    </row>
    <row r="1843" spans="1:6" x14ac:dyDescent="0.25">
      <c r="B1843" s="260"/>
    </row>
    <row r="1844" spans="1:6" x14ac:dyDescent="0.25">
      <c r="B1844" s="274"/>
    </row>
    <row r="1845" spans="1:6" ht="15.75" thickBot="1" x14ac:dyDescent="0.3">
      <c r="A1845" s="264"/>
      <c r="B1845" s="265"/>
      <c r="C1845" s="266"/>
      <c r="D1845" s="266"/>
      <c r="E1845" s="266"/>
      <c r="F1845" s="268"/>
    </row>
    <row r="1846" spans="1:6" x14ac:dyDescent="0.25">
      <c r="A1846" s="251"/>
      <c r="B1846" s="252"/>
      <c r="C1846" s="253"/>
      <c r="D1846" s="253"/>
      <c r="E1846" s="254"/>
      <c r="F1846" s="255"/>
    </row>
    <row r="1848" spans="1:6" x14ac:dyDescent="0.25">
      <c r="B1848" s="257"/>
    </row>
    <row r="1850" spans="1:6" x14ac:dyDescent="0.25">
      <c r="B1850" s="257"/>
    </row>
    <row r="1851" spans="1:6" x14ac:dyDescent="0.25">
      <c r="B1851" s="257"/>
    </row>
    <row r="1852" spans="1:6" x14ac:dyDescent="0.25">
      <c r="B1852" s="269"/>
    </row>
    <row r="1854" spans="1:6" s="99" customFormat="1" ht="12.75" x14ac:dyDescent="0.2">
      <c r="A1854" s="256"/>
      <c r="B1854" s="260"/>
      <c r="E1854" s="258"/>
      <c r="F1854" s="118"/>
    </row>
    <row r="1855" spans="1:6" s="99" customFormat="1" ht="12.75" x14ac:dyDescent="0.2">
      <c r="A1855" s="256"/>
      <c r="B1855" s="261"/>
      <c r="E1855" s="258"/>
      <c r="F1855" s="118"/>
    </row>
    <row r="1856" spans="1:6" s="99" customFormat="1" ht="12.75" x14ac:dyDescent="0.2">
      <c r="A1856" s="256"/>
      <c r="B1856" s="260"/>
      <c r="E1856" s="258"/>
      <c r="F1856" s="118"/>
    </row>
    <row r="1857" spans="1:6" s="99" customFormat="1" ht="12.75" x14ac:dyDescent="0.2">
      <c r="A1857" s="256"/>
      <c r="B1857" s="260"/>
      <c r="E1857" s="258"/>
      <c r="F1857" s="118"/>
    </row>
    <row r="1858" spans="1:6" s="99" customFormat="1" ht="12.75" x14ac:dyDescent="0.2">
      <c r="A1858" s="256"/>
      <c r="B1858" s="260"/>
      <c r="E1858" s="258"/>
      <c r="F1858" s="118"/>
    </row>
    <row r="1859" spans="1:6" s="99" customFormat="1" ht="12.75" x14ac:dyDescent="0.2">
      <c r="A1859" s="256"/>
      <c r="B1859" s="260"/>
      <c r="E1859" s="258"/>
      <c r="F1859" s="118"/>
    </row>
    <row r="1860" spans="1:6" s="99" customFormat="1" ht="12.75" x14ac:dyDescent="0.2">
      <c r="A1860" s="256"/>
      <c r="B1860" s="261"/>
      <c r="E1860" s="258"/>
      <c r="F1860" s="118"/>
    </row>
    <row r="1861" spans="1:6" s="99" customFormat="1" ht="12.75" x14ac:dyDescent="0.2">
      <c r="A1861" s="256"/>
      <c r="B1861" s="261"/>
      <c r="E1861" s="258"/>
      <c r="F1861" s="118"/>
    </row>
    <row r="1862" spans="1:6" s="99" customFormat="1" ht="12.75" x14ac:dyDescent="0.2">
      <c r="A1862" s="256"/>
      <c r="B1862" s="261"/>
      <c r="E1862" s="258"/>
      <c r="F1862" s="118"/>
    </row>
    <row r="1863" spans="1:6" s="99" customFormat="1" ht="12.75" x14ac:dyDescent="0.2">
      <c r="A1863" s="256"/>
      <c r="B1863" s="263"/>
      <c r="E1863" s="258"/>
      <c r="F1863" s="118"/>
    </row>
    <row r="1864" spans="1:6" s="99" customFormat="1" ht="12.75" x14ac:dyDescent="0.2">
      <c r="A1864" s="256"/>
      <c r="B1864" s="261"/>
      <c r="E1864" s="258"/>
      <c r="F1864" s="118"/>
    </row>
    <row r="1865" spans="1:6" s="99" customFormat="1" ht="12.75" x14ac:dyDescent="0.2">
      <c r="A1865" s="256"/>
      <c r="B1865" s="317"/>
      <c r="E1865" s="258"/>
      <c r="F1865" s="118"/>
    </row>
    <row r="1866" spans="1:6" s="99" customFormat="1" ht="12.75" x14ac:dyDescent="0.2">
      <c r="A1866" s="256"/>
      <c r="B1866" s="295"/>
      <c r="E1866" s="258"/>
      <c r="F1866" s="118"/>
    </row>
    <row r="1867" spans="1:6" s="99" customFormat="1" ht="12.75" x14ac:dyDescent="0.2">
      <c r="A1867" s="256"/>
      <c r="B1867" s="288"/>
      <c r="E1867" s="258"/>
      <c r="F1867" s="118"/>
    </row>
    <row r="1868" spans="1:6" s="99" customFormat="1" ht="12.75" x14ac:dyDescent="0.2">
      <c r="A1868" s="256"/>
      <c r="B1868" s="274"/>
      <c r="E1868" s="258"/>
      <c r="F1868" s="118"/>
    </row>
    <row r="1870" spans="1:6" x14ac:dyDescent="0.25">
      <c r="B1870" s="261"/>
    </row>
    <row r="1871" spans="1:6" x14ac:dyDescent="0.25">
      <c r="B1871" s="261"/>
    </row>
    <row r="1872" spans="1:6" x14ac:dyDescent="0.25">
      <c r="B1872" s="269"/>
    </row>
    <row r="1873" spans="1:6" x14ac:dyDescent="0.25">
      <c r="B1873" s="371"/>
    </row>
    <row r="1874" spans="1:6" x14ac:dyDescent="0.25">
      <c r="B1874" s="371"/>
    </row>
    <row r="1875" spans="1:6" x14ac:dyDescent="0.25">
      <c r="B1875" s="371"/>
    </row>
    <row r="1876" spans="1:6" x14ac:dyDescent="0.25">
      <c r="B1876" s="371"/>
    </row>
    <row r="1879" spans="1:6" x14ac:dyDescent="0.25">
      <c r="B1879" s="371"/>
    </row>
    <row r="1880" spans="1:6" x14ac:dyDescent="0.25">
      <c r="B1880" s="371"/>
    </row>
    <row r="1881" spans="1:6" x14ac:dyDescent="0.25">
      <c r="B1881" s="319"/>
    </row>
    <row r="1882" spans="1:6" ht="15.75" thickBot="1" x14ac:dyDescent="0.3">
      <c r="A1882" s="264"/>
      <c r="B1882" s="265"/>
      <c r="C1882" s="266"/>
      <c r="D1882" s="266"/>
      <c r="E1882" s="267"/>
      <c r="F1882" s="268"/>
    </row>
    <row r="1883" spans="1:6" x14ac:dyDescent="0.25">
      <c r="A1883" s="251"/>
      <c r="B1883" s="252"/>
      <c r="C1883" s="253"/>
      <c r="D1883" s="253"/>
      <c r="E1883" s="254"/>
      <c r="F1883" s="255"/>
    </row>
    <row r="1885" spans="1:6" s="118" customFormat="1" ht="12.75" x14ac:dyDescent="0.2">
      <c r="A1885" s="256"/>
      <c r="B1885" s="261"/>
      <c r="C1885" s="99"/>
      <c r="D1885" s="99"/>
      <c r="E1885" s="258"/>
    </row>
    <row r="1887" spans="1:6" s="118" customFormat="1" ht="12.75" x14ac:dyDescent="0.2">
      <c r="A1887" s="256"/>
      <c r="B1887" s="269"/>
      <c r="C1887" s="99"/>
      <c r="D1887" s="99"/>
      <c r="E1887" s="258"/>
    </row>
    <row r="1889" spans="1:6" s="118" customFormat="1" ht="12.75" x14ac:dyDescent="0.2">
      <c r="A1889" s="256"/>
      <c r="B1889" s="295"/>
      <c r="C1889" s="99"/>
      <c r="D1889" s="99"/>
      <c r="E1889" s="258"/>
    </row>
    <row r="1890" spans="1:6" s="118" customFormat="1" ht="12.75" x14ac:dyDescent="0.2">
      <c r="A1890" s="256"/>
      <c r="B1890" s="288"/>
      <c r="C1890" s="99"/>
      <c r="D1890" s="99"/>
      <c r="E1890" s="258"/>
    </row>
    <row r="1891" spans="1:6" s="118" customFormat="1" ht="12.75" x14ac:dyDescent="0.2">
      <c r="A1891" s="256"/>
      <c r="B1891" s="274"/>
      <c r="C1891" s="99"/>
      <c r="D1891" s="99"/>
      <c r="E1891" s="258"/>
    </row>
    <row r="1894" spans="1:6" s="118" customFormat="1" x14ac:dyDescent="0.25">
      <c r="A1894" s="271"/>
      <c r="B1894" s="259"/>
      <c r="C1894" s="289"/>
      <c r="D1894" s="289"/>
      <c r="E1894" s="290"/>
    </row>
    <row r="1895" spans="1:6" s="118" customFormat="1" ht="12.75" x14ac:dyDescent="0.2">
      <c r="A1895" s="256"/>
      <c r="B1895" s="269"/>
      <c r="C1895" s="99"/>
      <c r="D1895" s="99"/>
      <c r="E1895" s="258"/>
    </row>
    <row r="1896" spans="1:6" s="118" customFormat="1" ht="12.75" x14ac:dyDescent="0.2">
      <c r="A1896" s="256"/>
      <c r="B1896" s="288"/>
      <c r="C1896" s="99"/>
      <c r="D1896" s="99"/>
      <c r="E1896" s="258"/>
    </row>
    <row r="1897" spans="1:6" s="118" customFormat="1" ht="12.75" x14ac:dyDescent="0.2">
      <c r="A1897" s="256"/>
      <c r="B1897" s="274"/>
      <c r="C1897" s="99"/>
      <c r="D1897" s="99"/>
      <c r="E1897" s="258"/>
    </row>
    <row r="1899" spans="1:6" s="118" customFormat="1" ht="12.75" x14ac:dyDescent="0.2">
      <c r="A1899" s="256"/>
      <c r="B1899" s="260"/>
      <c r="C1899" s="99"/>
      <c r="D1899" s="99"/>
      <c r="E1899" s="258"/>
    </row>
    <row r="1900" spans="1:6" s="118" customFormat="1" ht="12.75" x14ac:dyDescent="0.2">
      <c r="A1900" s="256"/>
      <c r="B1900" s="260"/>
      <c r="C1900" s="99"/>
      <c r="D1900" s="99"/>
      <c r="E1900" s="258"/>
    </row>
    <row r="1901" spans="1:6" x14ac:dyDescent="0.25">
      <c r="B1901" s="295"/>
    </row>
    <row r="1902" spans="1:6" x14ac:dyDescent="0.25">
      <c r="A1902" s="271"/>
      <c r="B1902" s="259"/>
      <c r="C1902" s="289"/>
      <c r="D1902" s="289"/>
      <c r="E1902" s="290"/>
      <c r="F1902" s="291"/>
    </row>
    <row r="1903" spans="1:6" x14ac:dyDescent="0.25">
      <c r="B1903" s="269"/>
    </row>
    <row r="1904" spans="1:6" x14ac:dyDescent="0.25">
      <c r="B1904" s="288"/>
    </row>
    <row r="1905" spans="1:6" x14ac:dyDescent="0.25">
      <c r="B1905" s="260"/>
    </row>
    <row r="1906" spans="1:6" x14ac:dyDescent="0.25">
      <c r="B1906" s="288"/>
    </row>
    <row r="1907" spans="1:6" x14ac:dyDescent="0.25">
      <c r="B1907" s="274"/>
    </row>
    <row r="1908" spans="1:6" x14ac:dyDescent="0.25">
      <c r="B1908" s="274"/>
    </row>
    <row r="1909" spans="1:6" x14ac:dyDescent="0.25">
      <c r="B1909" s="269"/>
    </row>
    <row r="1910" spans="1:6" x14ac:dyDescent="0.25">
      <c r="B1910" s="260"/>
    </row>
    <row r="1911" spans="1:6" x14ac:dyDescent="0.25">
      <c r="B1911" s="260"/>
    </row>
    <row r="1912" spans="1:6" x14ac:dyDescent="0.25">
      <c r="B1912" s="288"/>
    </row>
    <row r="1913" spans="1:6" x14ac:dyDescent="0.25">
      <c r="B1913" s="274"/>
    </row>
    <row r="1914" spans="1:6" x14ac:dyDescent="0.25">
      <c r="B1914" s="263"/>
    </row>
    <row r="1915" spans="1:6" x14ac:dyDescent="0.25">
      <c r="B1915" s="286"/>
    </row>
    <row r="1916" spans="1:6" x14ac:dyDescent="0.25">
      <c r="B1916" s="374"/>
    </row>
    <row r="1917" spans="1:6" x14ac:dyDescent="0.25">
      <c r="B1917" s="286"/>
    </row>
    <row r="1920" spans="1:6" ht="15.75" thickBot="1" x14ac:dyDescent="0.3">
      <c r="A1920" s="292"/>
      <c r="B1920" s="265"/>
      <c r="C1920" s="293"/>
      <c r="D1920" s="293"/>
      <c r="E1920" s="294"/>
      <c r="F1920" s="268"/>
    </row>
    <row r="1921" spans="1:6" x14ac:dyDescent="0.25">
      <c r="A1921" s="251"/>
      <c r="B1921" s="252"/>
      <c r="C1921" s="253"/>
      <c r="D1921" s="253"/>
      <c r="E1921" s="254"/>
      <c r="F1921" s="255"/>
    </row>
    <row r="1922" spans="1:6" x14ac:dyDescent="0.25">
      <c r="A1922" s="271"/>
      <c r="B1922" s="375"/>
      <c r="C1922" s="289"/>
      <c r="D1922" s="289"/>
      <c r="E1922" s="290"/>
      <c r="F1922" s="291"/>
    </row>
    <row r="1923" spans="1:6" x14ac:dyDescent="0.25">
      <c r="B1923" s="320"/>
    </row>
    <row r="1924" spans="1:6" x14ac:dyDescent="0.25">
      <c r="B1924" s="260"/>
    </row>
    <row r="1925" spans="1:6" x14ac:dyDescent="0.25">
      <c r="B1925" s="262"/>
    </row>
    <row r="1927" spans="1:6" ht="15.75" thickBot="1" x14ac:dyDescent="0.3">
      <c r="A1927" s="264"/>
      <c r="B1927" s="265"/>
      <c r="C1927" s="266"/>
      <c r="D1927" s="266"/>
      <c r="E1927" s="267"/>
      <c r="F1927" s="268"/>
    </row>
    <row r="1929" spans="1:6" x14ac:dyDescent="0.25">
      <c r="B1929" s="276"/>
      <c r="F1929" s="277"/>
    </row>
    <row r="1930" spans="1:6" x14ac:dyDescent="0.25">
      <c r="F1930" s="277"/>
    </row>
    <row r="1931" spans="1:6" x14ac:dyDescent="0.25">
      <c r="B1931" s="276"/>
      <c r="F1931" s="277"/>
    </row>
    <row r="1932" spans="1:6" x14ac:dyDescent="0.25">
      <c r="F1932" s="277"/>
    </row>
    <row r="1933" spans="1:6" x14ac:dyDescent="0.25">
      <c r="B1933" s="276"/>
      <c r="F1933" s="277"/>
    </row>
    <row r="1935" spans="1:6" x14ac:dyDescent="0.25">
      <c r="B1935" s="260"/>
    </row>
    <row r="1936" spans="1:6" x14ac:dyDescent="0.25">
      <c r="B1936" s="274"/>
    </row>
    <row r="1937" spans="1:6" x14ac:dyDescent="0.25">
      <c r="B1937" s="274"/>
    </row>
    <row r="1938" spans="1:6" ht="15.75" customHeight="1" x14ac:dyDescent="0.25">
      <c r="A1938" s="271"/>
      <c r="B1938" s="259"/>
      <c r="C1938" s="289"/>
      <c r="D1938" s="289"/>
      <c r="E1938" s="290"/>
      <c r="F1938" s="291"/>
    </row>
    <row r="1939" spans="1:6" s="99" customFormat="1" ht="12.75" x14ac:dyDescent="0.2">
      <c r="A1939" s="256"/>
      <c r="B1939" s="262"/>
      <c r="E1939" s="258"/>
      <c r="F1939" s="118"/>
    </row>
    <row r="1940" spans="1:6" s="99" customFormat="1" ht="12.75" x14ac:dyDescent="0.25">
      <c r="A1940" s="256"/>
      <c r="B1940" s="276"/>
      <c r="E1940" s="258"/>
      <c r="F1940" s="118"/>
    </row>
    <row r="1941" spans="1:6" s="99" customFormat="1" ht="12.75" x14ac:dyDescent="0.2">
      <c r="A1941" s="256"/>
      <c r="B1941" s="260"/>
      <c r="E1941" s="258"/>
      <c r="F1941" s="118"/>
    </row>
    <row r="1942" spans="1:6" s="99" customFormat="1" ht="12.75" x14ac:dyDescent="0.25">
      <c r="A1942" s="256"/>
      <c r="B1942" s="276"/>
      <c r="E1942" s="258"/>
      <c r="F1942" s="118"/>
    </row>
    <row r="1943" spans="1:6" s="99" customFormat="1" ht="12.75" x14ac:dyDescent="0.2">
      <c r="A1943" s="256"/>
      <c r="B1943" s="274"/>
      <c r="E1943" s="258"/>
      <c r="F1943" s="118"/>
    </row>
    <row r="1944" spans="1:6" s="99" customFormat="1" ht="12.75" x14ac:dyDescent="0.25">
      <c r="A1944" s="256"/>
      <c r="B1944" s="276"/>
      <c r="E1944" s="258"/>
      <c r="F1944" s="118"/>
    </row>
    <row r="1945" spans="1:6" s="99" customFormat="1" ht="12.75" x14ac:dyDescent="0.2">
      <c r="A1945" s="256"/>
      <c r="B1945" s="123"/>
      <c r="E1945" s="258"/>
      <c r="F1945" s="118"/>
    </row>
    <row r="1946" spans="1:6" s="99" customFormat="1" ht="12.75" x14ac:dyDescent="0.2">
      <c r="A1946" s="256"/>
      <c r="B1946" s="260"/>
      <c r="E1946" s="258"/>
      <c r="F1946" s="118"/>
    </row>
    <row r="1947" spans="1:6" s="99" customFormat="1" ht="12.75" x14ac:dyDescent="0.2">
      <c r="A1947" s="256"/>
      <c r="B1947" s="262"/>
      <c r="E1947" s="258"/>
      <c r="F1947" s="118"/>
    </row>
    <row r="1948" spans="1:6" s="99" customFormat="1" ht="12.75" x14ac:dyDescent="0.2">
      <c r="A1948" s="256"/>
      <c r="B1948" s="274"/>
      <c r="E1948" s="258"/>
      <c r="F1948" s="118"/>
    </row>
    <row r="1949" spans="1:6" s="99" customFormat="1" ht="12.75" x14ac:dyDescent="0.2">
      <c r="A1949" s="256"/>
      <c r="B1949" s="274"/>
      <c r="E1949" s="258"/>
      <c r="F1949" s="118"/>
    </row>
    <row r="1950" spans="1:6" s="99" customFormat="1" ht="12.75" x14ac:dyDescent="0.2">
      <c r="A1950" s="256"/>
      <c r="B1950" s="274"/>
      <c r="E1950" s="258"/>
      <c r="F1950" s="118"/>
    </row>
    <row r="1951" spans="1:6" s="99" customFormat="1" ht="12.75" x14ac:dyDescent="0.2">
      <c r="A1951" s="256"/>
      <c r="B1951" s="274"/>
      <c r="E1951" s="258"/>
      <c r="F1951" s="118"/>
    </row>
    <row r="1952" spans="1:6" s="99" customFormat="1" ht="12.75" x14ac:dyDescent="0.2">
      <c r="A1952" s="256"/>
      <c r="B1952" s="274"/>
      <c r="E1952" s="258"/>
      <c r="F1952" s="118"/>
    </row>
    <row r="1953" spans="1:6" s="99" customFormat="1" ht="12.75" x14ac:dyDescent="0.2">
      <c r="A1953" s="256"/>
      <c r="B1953" s="274"/>
      <c r="E1953" s="258"/>
      <c r="F1953" s="118"/>
    </row>
    <row r="1954" spans="1:6" s="99" customFormat="1" ht="12.75" x14ac:dyDescent="0.2">
      <c r="A1954" s="256"/>
      <c r="B1954" s="274"/>
      <c r="E1954" s="258"/>
      <c r="F1954" s="118"/>
    </row>
    <row r="1955" spans="1:6" x14ac:dyDescent="0.25">
      <c r="B1955" s="274"/>
    </row>
    <row r="1956" spans="1:6" x14ac:dyDescent="0.25">
      <c r="B1956" s="274"/>
    </row>
    <row r="1957" spans="1:6" x14ac:dyDescent="0.25">
      <c r="B1957" s="274"/>
    </row>
    <row r="1958" spans="1:6" x14ac:dyDescent="0.25">
      <c r="B1958" s="274"/>
    </row>
    <row r="1959" spans="1:6" x14ac:dyDescent="0.25">
      <c r="B1959" s="274"/>
    </row>
    <row r="1960" spans="1:6" x14ac:dyDescent="0.25">
      <c r="B1960" s="274"/>
    </row>
    <row r="1961" spans="1:6" ht="15.75" thickBot="1" x14ac:dyDescent="0.3">
      <c r="A1961" s="264"/>
      <c r="B1961" s="300"/>
      <c r="C1961" s="266"/>
      <c r="D1961" s="266"/>
      <c r="E1961" s="267"/>
      <c r="F1961" s="268"/>
    </row>
    <row r="1962" spans="1:6" x14ac:dyDescent="0.25">
      <c r="A1962" s="251"/>
      <c r="B1962" s="252"/>
      <c r="C1962" s="253"/>
      <c r="D1962" s="253"/>
      <c r="E1962" s="254"/>
      <c r="F1962" s="255"/>
    </row>
    <row r="1963" spans="1:6" x14ac:dyDescent="0.25">
      <c r="A1963" s="271"/>
      <c r="B1963" s="375"/>
      <c r="C1963" s="289"/>
      <c r="D1963" s="289"/>
      <c r="E1963" s="290"/>
      <c r="F1963" s="376"/>
    </row>
    <row r="1964" spans="1:6" x14ac:dyDescent="0.25">
      <c r="B1964" s="377"/>
      <c r="E1964" s="99"/>
    </row>
    <row r="1965" spans="1:6" x14ac:dyDescent="0.25">
      <c r="B1965" s="377"/>
      <c r="E1965" s="99"/>
    </row>
    <row r="1966" spans="1:6" x14ac:dyDescent="0.25">
      <c r="A1966" s="222"/>
      <c r="B1966" s="223"/>
      <c r="C1966" s="74"/>
      <c r="D1966" s="74"/>
      <c r="E1966" s="224"/>
      <c r="F1966" s="157"/>
    </row>
    <row r="1967" spans="1:6" x14ac:dyDescent="0.25">
      <c r="A1967" s="73"/>
      <c r="B1967" s="152"/>
      <c r="C1967" s="74"/>
      <c r="D1967" s="74"/>
      <c r="E1967" s="74"/>
      <c r="F1967" s="76"/>
    </row>
    <row r="1968" spans="1:6" x14ac:dyDescent="0.25">
      <c r="A1968" s="222"/>
      <c r="B1968" s="192"/>
      <c r="C1968" s="74"/>
      <c r="D1968" s="74"/>
      <c r="E1968" s="224"/>
      <c r="F1968" s="157"/>
    </row>
    <row r="1969" spans="1:6" x14ac:dyDescent="0.25">
      <c r="A1969" s="222"/>
      <c r="B1969" s="192"/>
      <c r="C1969" s="74"/>
      <c r="D1969" s="74"/>
      <c r="E1969" s="224"/>
      <c r="F1969" s="157"/>
    </row>
    <row r="1970" spans="1:6" x14ac:dyDescent="0.25">
      <c r="A1970" s="222"/>
      <c r="B1970" s="192"/>
      <c r="C1970" s="74"/>
      <c r="D1970" s="74"/>
      <c r="E1970" s="224"/>
      <c r="F1970" s="157"/>
    </row>
    <row r="1971" spans="1:6" x14ac:dyDescent="0.25">
      <c r="A1971" s="222"/>
      <c r="B1971" s="192"/>
      <c r="C1971" s="74"/>
      <c r="D1971" s="74"/>
      <c r="E1971" s="224"/>
      <c r="F1971" s="157"/>
    </row>
    <row r="1972" spans="1:6" x14ac:dyDescent="0.25">
      <c r="A1972" s="222"/>
      <c r="B1972" s="192"/>
      <c r="C1972" s="74"/>
      <c r="D1972" s="74"/>
      <c r="E1972" s="224"/>
      <c r="F1972" s="157"/>
    </row>
    <row r="1973" spans="1:6" x14ac:dyDescent="0.25">
      <c r="A1973" s="222"/>
      <c r="B1973" s="192"/>
      <c r="C1973" s="74"/>
      <c r="D1973" s="74"/>
      <c r="E1973" s="224"/>
      <c r="F1973" s="157"/>
    </row>
    <row r="1974" spans="1:6" x14ac:dyDescent="0.25">
      <c r="A1974" s="222"/>
      <c r="B1974" s="192"/>
      <c r="C1974" s="74"/>
      <c r="D1974" s="74"/>
      <c r="E1974" s="224"/>
      <c r="F1974" s="157"/>
    </row>
    <row r="1975" spans="1:6" ht="15.75" thickBot="1" x14ac:dyDescent="0.3">
      <c r="A1975" s="222"/>
      <c r="B1975" s="192"/>
      <c r="C1975" s="74"/>
      <c r="D1975" s="74"/>
      <c r="E1975" s="224"/>
      <c r="F1975" s="157"/>
    </row>
    <row r="1976" spans="1:6" ht="15.75" thickBot="1" x14ac:dyDescent="0.3">
      <c r="A1976" s="378"/>
      <c r="B1976" s="379"/>
      <c r="C1976" s="380"/>
      <c r="D1976" s="380"/>
      <c r="E1976" s="471"/>
      <c r="F1976" s="472"/>
    </row>
    <row r="1977" spans="1:6" x14ac:dyDescent="0.25">
      <c r="A1977" s="381"/>
      <c r="B1977" s="382"/>
      <c r="C1977" s="383"/>
      <c r="D1977" s="383"/>
      <c r="E1977" s="383"/>
      <c r="F1977" s="384"/>
    </row>
    <row r="1978" spans="1:6" x14ac:dyDescent="0.25">
      <c r="A1978" s="385"/>
      <c r="B1978" s="367"/>
      <c r="C1978" s="386"/>
      <c r="D1978" s="386"/>
      <c r="E1978" s="386"/>
      <c r="F1978" s="117"/>
    </row>
    <row r="1979" spans="1:6" x14ac:dyDescent="0.25">
      <c r="A1979" s="385"/>
      <c r="B1979" s="387"/>
      <c r="C1979" s="386"/>
      <c r="D1979" s="386"/>
      <c r="E1979" s="386"/>
      <c r="F1979" s="117"/>
    </row>
    <row r="1980" spans="1:6" x14ac:dyDescent="0.25">
      <c r="A1980" s="388"/>
      <c r="B1980" s="389"/>
      <c r="C1980" s="390"/>
      <c r="D1980" s="390"/>
      <c r="E1980" s="390"/>
      <c r="F1980" s="391"/>
    </row>
    <row r="1981" spans="1:6" x14ac:dyDescent="0.25">
      <c r="A1981" s="385"/>
      <c r="B1981" s="371"/>
      <c r="C1981" s="386"/>
      <c r="D1981" s="386"/>
      <c r="E1981" s="392"/>
      <c r="F1981" s="117"/>
    </row>
    <row r="1982" spans="1:6" x14ac:dyDescent="0.25">
      <c r="A1982" s="385"/>
      <c r="B1982" s="371"/>
      <c r="C1982" s="386"/>
      <c r="D1982" s="386"/>
      <c r="E1982" s="392"/>
      <c r="F1982" s="117"/>
    </row>
    <row r="1983" spans="1:6" x14ac:dyDescent="0.25">
      <c r="A1983" s="385"/>
      <c r="B1983" s="262"/>
      <c r="C1983" s="386"/>
      <c r="D1983" s="386"/>
      <c r="E1983" s="386"/>
      <c r="F1983" s="393"/>
    </row>
    <row r="1984" spans="1:6" x14ac:dyDescent="0.25">
      <c r="A1984" s="385"/>
      <c r="B1984" s="367"/>
      <c r="C1984" s="386"/>
      <c r="D1984" s="386"/>
      <c r="E1984" s="386"/>
      <c r="F1984" s="393"/>
    </row>
    <row r="1985" spans="1:6" x14ac:dyDescent="0.25">
      <c r="A1985" s="385"/>
      <c r="B1985" s="262"/>
      <c r="C1985" s="386"/>
      <c r="D1985" s="386"/>
      <c r="E1985" s="386"/>
      <c r="F1985" s="393"/>
    </row>
    <row r="1986" spans="1:6" x14ac:dyDescent="0.25">
      <c r="A1986" s="385"/>
      <c r="B1986" s="367"/>
      <c r="C1986" s="386"/>
      <c r="D1986" s="386"/>
      <c r="E1986" s="386"/>
      <c r="F1986" s="393"/>
    </row>
    <row r="1987" spans="1:6" x14ac:dyDescent="0.25">
      <c r="A1987" s="385"/>
      <c r="B1987" s="262"/>
      <c r="C1987" s="386"/>
      <c r="D1987" s="386"/>
      <c r="E1987" s="386"/>
      <c r="F1987" s="393"/>
    </row>
    <row r="1988" spans="1:6" x14ac:dyDescent="0.25">
      <c r="A1988" s="385"/>
      <c r="B1988" s="367"/>
      <c r="C1988" s="386"/>
      <c r="D1988" s="386"/>
      <c r="E1988" s="386"/>
      <c r="F1988" s="393"/>
    </row>
    <row r="1989" spans="1:6" x14ac:dyDescent="0.25">
      <c r="A1989" s="385"/>
      <c r="B1989" s="262"/>
      <c r="C1989" s="386"/>
      <c r="D1989" s="386"/>
      <c r="E1989" s="386"/>
      <c r="F1989" s="393"/>
    </row>
    <row r="1990" spans="1:6" x14ac:dyDescent="0.25">
      <c r="A1990" s="385"/>
      <c r="B1990" s="371"/>
      <c r="C1990" s="386"/>
      <c r="D1990" s="386"/>
      <c r="E1990" s="392"/>
      <c r="F1990" s="117"/>
    </row>
    <row r="1991" spans="1:6" x14ac:dyDescent="0.25">
      <c r="A1991" s="385"/>
      <c r="B1991" s="371"/>
      <c r="C1991" s="386"/>
      <c r="D1991" s="386"/>
      <c r="E1991" s="392"/>
      <c r="F1991" s="117"/>
    </row>
    <row r="1992" spans="1:6" x14ac:dyDescent="0.25">
      <c r="A1992" s="385"/>
      <c r="B1992" s="371"/>
      <c r="C1992" s="386"/>
      <c r="D1992" s="386"/>
      <c r="E1992" s="392"/>
      <c r="F1992" s="117"/>
    </row>
    <row r="1993" spans="1:6" x14ac:dyDescent="0.25">
      <c r="A1993" s="385"/>
      <c r="B1993" s="371"/>
      <c r="C1993" s="386"/>
      <c r="D1993" s="386"/>
      <c r="E1993" s="386"/>
      <c r="F1993" s="117"/>
    </row>
    <row r="1994" spans="1:6" x14ac:dyDescent="0.25">
      <c r="A1994" s="388"/>
      <c r="B1994" s="394"/>
      <c r="C1994" s="390"/>
      <c r="D1994" s="390"/>
      <c r="E1994" s="390"/>
      <c r="F1994" s="395"/>
    </row>
    <row r="1995" spans="1:6" x14ac:dyDescent="0.25">
      <c r="A1995" s="388"/>
      <c r="B1995" s="394"/>
      <c r="C1995" s="390"/>
      <c r="D1995" s="390"/>
      <c r="E1995" s="390"/>
      <c r="F1995" s="395"/>
    </row>
    <row r="1996" spans="1:6" x14ac:dyDescent="0.25">
      <c r="A1996" s="388"/>
      <c r="B1996" s="394"/>
      <c r="C1996" s="390"/>
      <c r="D1996" s="390"/>
      <c r="E1996" s="390"/>
      <c r="F1996" s="395"/>
    </row>
    <row r="1997" spans="1:6" x14ac:dyDescent="0.25">
      <c r="A1997" s="388"/>
      <c r="B1997" s="394"/>
      <c r="C1997" s="390"/>
      <c r="D1997" s="390"/>
      <c r="E1997" s="390"/>
      <c r="F1997" s="395"/>
    </row>
    <row r="1998" spans="1:6" x14ac:dyDescent="0.25">
      <c r="A1998" s="385"/>
      <c r="B1998" s="396"/>
      <c r="C1998" s="386"/>
      <c r="D1998" s="386"/>
      <c r="E1998" s="386"/>
      <c r="F1998" s="117"/>
    </row>
    <row r="1999" spans="1:6" x14ac:dyDescent="0.25">
      <c r="A1999" s="388"/>
      <c r="B1999" s="394"/>
      <c r="C1999" s="390"/>
      <c r="D1999" s="390"/>
      <c r="E1999" s="390"/>
      <c r="F1999" s="395"/>
    </row>
    <row r="2000" spans="1:6" x14ac:dyDescent="0.25">
      <c r="A2000" s="388"/>
      <c r="B2000" s="389"/>
      <c r="C2000" s="390"/>
      <c r="D2000" s="390"/>
      <c r="E2000" s="390"/>
      <c r="F2000" s="391"/>
    </row>
    <row r="2001" spans="1:6" x14ac:dyDescent="0.25">
      <c r="A2001" s="385"/>
      <c r="B2001" s="397"/>
      <c r="C2001" s="386"/>
      <c r="D2001" s="386"/>
      <c r="E2001" s="386"/>
      <c r="F2001" s="393"/>
    </row>
    <row r="2002" spans="1:6" x14ac:dyDescent="0.25">
      <c r="A2002" s="385"/>
      <c r="B2002" s="371"/>
      <c r="C2002" s="386"/>
      <c r="D2002" s="386"/>
      <c r="E2002" s="386"/>
      <c r="F2002" s="393"/>
    </row>
    <row r="2003" spans="1:6" x14ac:dyDescent="0.25">
      <c r="A2003" s="385"/>
      <c r="B2003" s="397"/>
      <c r="C2003" s="386"/>
      <c r="D2003" s="386"/>
      <c r="E2003" s="386"/>
      <c r="F2003" s="393"/>
    </row>
    <row r="2004" spans="1:6" x14ac:dyDescent="0.25">
      <c r="A2004" s="385"/>
      <c r="B2004" s="371"/>
      <c r="C2004" s="386"/>
      <c r="D2004" s="386"/>
      <c r="E2004" s="386"/>
      <c r="F2004" s="393"/>
    </row>
    <row r="2005" spans="1:6" x14ac:dyDescent="0.25">
      <c r="A2005" s="385"/>
      <c r="B2005" s="371"/>
      <c r="C2005" s="386"/>
      <c r="D2005" s="386"/>
      <c r="E2005" s="386"/>
      <c r="F2005" s="393"/>
    </row>
    <row r="2006" spans="1:6" x14ac:dyDescent="0.25">
      <c r="A2006" s="385"/>
      <c r="B2006" s="387"/>
      <c r="C2006" s="386"/>
      <c r="D2006" s="386"/>
      <c r="E2006" s="386"/>
      <c r="F2006" s="393"/>
    </row>
    <row r="2007" spans="1:6" x14ac:dyDescent="0.25">
      <c r="A2007" s="385"/>
      <c r="B2007" s="262"/>
      <c r="C2007" s="386"/>
      <c r="D2007" s="386"/>
      <c r="E2007" s="386"/>
      <c r="F2007" s="393"/>
    </row>
    <row r="2008" spans="1:6" x14ac:dyDescent="0.25">
      <c r="B2008" s="275"/>
      <c r="E2008" s="99"/>
    </row>
    <row r="2009" spans="1:6" x14ac:dyDescent="0.25">
      <c r="B2009" s="276"/>
      <c r="E2009" s="99"/>
    </row>
    <row r="2010" spans="1:6" x14ac:dyDescent="0.25">
      <c r="B2010" s="276"/>
      <c r="E2010" s="99"/>
    </row>
    <row r="2011" spans="1:6" x14ac:dyDescent="0.25">
      <c r="B2011" s="276"/>
      <c r="E2011" s="99"/>
    </row>
    <row r="2012" spans="1:6" s="118" customFormat="1" ht="12.75" x14ac:dyDescent="0.25">
      <c r="A2012" s="256"/>
      <c r="B2012" s="276"/>
      <c r="C2012" s="99"/>
      <c r="D2012" s="99"/>
      <c r="E2012" s="99"/>
    </row>
    <row r="2014" spans="1:6" s="118" customFormat="1" ht="12.75" x14ac:dyDescent="0.25">
      <c r="A2014" s="256"/>
      <c r="B2014" s="276"/>
      <c r="C2014" s="99"/>
      <c r="D2014" s="99"/>
      <c r="E2014" s="99"/>
    </row>
    <row r="2015" spans="1:6" s="118" customFormat="1" ht="12.75" x14ac:dyDescent="0.25">
      <c r="A2015" s="256"/>
      <c r="B2015" s="276"/>
      <c r="C2015" s="99"/>
      <c r="D2015" s="99"/>
      <c r="E2015" s="99"/>
    </row>
    <row r="2016" spans="1:6" s="118" customFormat="1" ht="12.75" x14ac:dyDescent="0.25">
      <c r="A2016" s="256"/>
      <c r="B2016" s="276"/>
      <c r="C2016" s="99"/>
      <c r="D2016" s="99"/>
      <c r="E2016" s="99"/>
    </row>
    <row r="2017" spans="1:5" s="118" customFormat="1" ht="12.75" x14ac:dyDescent="0.25">
      <c r="A2017" s="256"/>
      <c r="B2017" s="276"/>
      <c r="C2017" s="99"/>
      <c r="D2017" s="99"/>
      <c r="E2017" s="99"/>
    </row>
    <row r="2018" spans="1:5" s="118" customFormat="1" ht="12.75" x14ac:dyDescent="0.25">
      <c r="A2018" s="256"/>
      <c r="B2018" s="276"/>
      <c r="C2018" s="99"/>
      <c r="D2018" s="99"/>
      <c r="E2018" s="99"/>
    </row>
    <row r="2019" spans="1:5" s="118" customFormat="1" ht="12.75" x14ac:dyDescent="0.25">
      <c r="A2019" s="256"/>
      <c r="B2019" s="276"/>
      <c r="C2019" s="99"/>
      <c r="D2019" s="99"/>
      <c r="E2019" s="99"/>
    </row>
    <row r="2020" spans="1:5" s="118" customFormat="1" ht="12.75" x14ac:dyDescent="0.25">
      <c r="A2020" s="256"/>
      <c r="B2020" s="276"/>
      <c r="C2020" s="99"/>
      <c r="D2020" s="99"/>
      <c r="E2020" s="99"/>
    </row>
    <row r="2021" spans="1:5" s="118" customFormat="1" ht="12.75" x14ac:dyDescent="0.25">
      <c r="A2021" s="256"/>
      <c r="B2021" s="276"/>
      <c r="C2021" s="99"/>
      <c r="D2021" s="99"/>
      <c r="E2021" s="99"/>
    </row>
    <row r="2022" spans="1:5" s="118" customFormat="1" ht="12.75" x14ac:dyDescent="0.25">
      <c r="A2022" s="256"/>
      <c r="B2022" s="276"/>
      <c r="C2022" s="99"/>
      <c r="D2022" s="99"/>
      <c r="E2022" s="99"/>
    </row>
    <row r="2023" spans="1:5" s="118" customFormat="1" ht="12.75" x14ac:dyDescent="0.25">
      <c r="A2023" s="256"/>
      <c r="B2023" s="276"/>
      <c r="C2023" s="99"/>
      <c r="D2023" s="99"/>
      <c r="E2023" s="99"/>
    </row>
    <row r="2024" spans="1:5" s="118" customFormat="1" ht="12.75" x14ac:dyDescent="0.25">
      <c r="A2024" s="256"/>
      <c r="B2024" s="276"/>
      <c r="C2024" s="99"/>
      <c r="D2024" s="99"/>
      <c r="E2024" s="99"/>
    </row>
    <row r="2025" spans="1:5" s="118" customFormat="1" ht="12.75" x14ac:dyDescent="0.25">
      <c r="A2025" s="256"/>
      <c r="B2025" s="276"/>
      <c r="C2025" s="99"/>
      <c r="D2025" s="99"/>
      <c r="E2025" s="99"/>
    </row>
    <row r="2026" spans="1:5" s="118" customFormat="1" ht="12.75" x14ac:dyDescent="0.25">
      <c r="A2026" s="256"/>
      <c r="B2026" s="276"/>
      <c r="C2026" s="99"/>
      <c r="D2026" s="99"/>
      <c r="E2026" s="99"/>
    </row>
    <row r="2027" spans="1:5" s="118" customFormat="1" ht="12.75" x14ac:dyDescent="0.25">
      <c r="A2027" s="256"/>
      <c r="B2027" s="276"/>
      <c r="C2027" s="99"/>
      <c r="D2027" s="99"/>
      <c r="E2027" s="99"/>
    </row>
    <row r="2028" spans="1:5" s="118" customFormat="1" ht="12.75" x14ac:dyDescent="0.25">
      <c r="A2028" s="256"/>
      <c r="B2028" s="276"/>
      <c r="C2028" s="99"/>
      <c r="D2028" s="99"/>
      <c r="E2028" s="99"/>
    </row>
    <row r="2029" spans="1:5" s="118" customFormat="1" ht="12.75" x14ac:dyDescent="0.25">
      <c r="A2029" s="256"/>
      <c r="B2029" s="276"/>
      <c r="C2029" s="99"/>
      <c r="D2029" s="99"/>
      <c r="E2029" s="99"/>
    </row>
    <row r="2030" spans="1:5" s="118" customFormat="1" ht="12.75" x14ac:dyDescent="0.25">
      <c r="A2030" s="256"/>
      <c r="B2030" s="276"/>
      <c r="C2030" s="99"/>
      <c r="D2030" s="99"/>
      <c r="E2030" s="99"/>
    </row>
    <row r="2031" spans="1:5" s="118" customFormat="1" ht="12.75" x14ac:dyDescent="0.25">
      <c r="A2031" s="256"/>
      <c r="B2031" s="276"/>
      <c r="C2031" s="99"/>
      <c r="D2031" s="99"/>
      <c r="E2031" s="99"/>
    </row>
    <row r="2032" spans="1:5" s="118" customFormat="1" ht="12.75" x14ac:dyDescent="0.25">
      <c r="A2032" s="256"/>
      <c r="B2032" s="276"/>
      <c r="C2032" s="99"/>
      <c r="D2032" s="99"/>
      <c r="E2032" s="99"/>
    </row>
    <row r="2033" spans="1:6" s="118" customFormat="1" ht="12.75" x14ac:dyDescent="0.25">
      <c r="A2033" s="256"/>
      <c r="B2033" s="276"/>
      <c r="C2033" s="99"/>
      <c r="D2033" s="99"/>
      <c r="E2033" s="99"/>
    </row>
    <row r="2034" spans="1:6" s="118" customFormat="1" ht="12.75" x14ac:dyDescent="0.25">
      <c r="A2034" s="256"/>
      <c r="B2034" s="276"/>
      <c r="C2034" s="99"/>
      <c r="D2034" s="99"/>
      <c r="E2034" s="99"/>
    </row>
    <row r="2035" spans="1:6" s="118" customFormat="1" ht="12.75" x14ac:dyDescent="0.25">
      <c r="A2035" s="256"/>
      <c r="B2035" s="276"/>
      <c r="C2035" s="99"/>
      <c r="D2035" s="99"/>
      <c r="E2035" s="99"/>
    </row>
    <row r="2036" spans="1:6" s="118" customFormat="1" ht="12.75" x14ac:dyDescent="0.25">
      <c r="A2036" s="256"/>
      <c r="B2036" s="276"/>
      <c r="C2036" s="99"/>
      <c r="D2036" s="99"/>
      <c r="E2036" s="99"/>
    </row>
    <row r="2037" spans="1:6" s="118" customFormat="1" ht="12.75" x14ac:dyDescent="0.25">
      <c r="A2037" s="256"/>
      <c r="B2037" s="276"/>
      <c r="C2037" s="99"/>
      <c r="D2037" s="99"/>
      <c r="E2037" s="99"/>
    </row>
    <row r="2038" spans="1:6" s="118" customFormat="1" ht="12.75" x14ac:dyDescent="0.25">
      <c r="A2038" s="256"/>
      <c r="B2038" s="276"/>
      <c r="C2038" s="99"/>
      <c r="D2038" s="99"/>
      <c r="E2038" s="99"/>
    </row>
    <row r="2039" spans="1:6" s="118" customFormat="1" ht="12.75" x14ac:dyDescent="0.25">
      <c r="A2039" s="256"/>
      <c r="B2039" s="276"/>
      <c r="C2039" s="99"/>
      <c r="D2039" s="99"/>
      <c r="E2039" s="99"/>
    </row>
    <row r="2040" spans="1:6" s="118" customFormat="1" ht="12.75" x14ac:dyDescent="0.25">
      <c r="A2040" s="256"/>
      <c r="B2040" s="276"/>
      <c r="C2040" s="99"/>
      <c r="D2040" s="99"/>
      <c r="E2040" s="99"/>
    </row>
    <row r="2041" spans="1:6" s="118" customFormat="1" ht="12.75" x14ac:dyDescent="0.25">
      <c r="A2041" s="256"/>
      <c r="B2041" s="276"/>
      <c r="C2041" s="99"/>
      <c r="D2041" s="99"/>
      <c r="E2041" s="99"/>
    </row>
    <row r="2042" spans="1:6" s="118" customFormat="1" ht="12.75" x14ac:dyDescent="0.25">
      <c r="A2042" s="256"/>
      <c r="B2042" s="276"/>
      <c r="C2042" s="99"/>
      <c r="D2042" s="99"/>
      <c r="E2042" s="99"/>
    </row>
    <row r="2043" spans="1:6" s="118" customFormat="1" ht="12.75" x14ac:dyDescent="0.25">
      <c r="A2043" s="256"/>
      <c r="B2043" s="276"/>
      <c r="C2043" s="99"/>
      <c r="D2043" s="99"/>
      <c r="E2043" s="99"/>
    </row>
    <row r="2044" spans="1:6" s="118" customFormat="1" ht="12.75" x14ac:dyDescent="0.25">
      <c r="A2044" s="256"/>
      <c r="B2044" s="276"/>
      <c r="C2044" s="99"/>
      <c r="D2044" s="99"/>
      <c r="E2044" s="99"/>
    </row>
    <row r="2045" spans="1:6" x14ac:dyDescent="0.25">
      <c r="B2045" s="276"/>
      <c r="E2045" s="99"/>
    </row>
    <row r="2046" spans="1:6" ht="15.75" thickBot="1" x14ac:dyDescent="0.3">
      <c r="A2046" s="264"/>
      <c r="B2046" s="398"/>
      <c r="C2046" s="266"/>
      <c r="D2046" s="266"/>
      <c r="E2046" s="266"/>
      <c r="F2046" s="399"/>
    </row>
    <row r="2047" spans="1:6" x14ac:dyDescent="0.25">
      <c r="A2047" s="400"/>
      <c r="B2047" s="401"/>
      <c r="C2047" s="402"/>
      <c r="D2047" s="402"/>
      <c r="E2047" s="403"/>
      <c r="F2047" s="404"/>
    </row>
    <row r="2048" spans="1:6" x14ac:dyDescent="0.25">
      <c r="B2048" s="276"/>
    </row>
    <row r="2049" spans="1:6" x14ac:dyDescent="0.25">
      <c r="A2049" s="310"/>
      <c r="B2049" s="295"/>
      <c r="C2049" s="311"/>
      <c r="D2049" s="311"/>
      <c r="E2049" s="312"/>
      <c r="F2049" s="313"/>
    </row>
    <row r="2050" spans="1:6" x14ac:dyDescent="0.25">
      <c r="A2050" s="310"/>
      <c r="B2050" s="260"/>
      <c r="C2050" s="311"/>
      <c r="D2050" s="311"/>
      <c r="E2050" s="312"/>
      <c r="F2050" s="313"/>
    </row>
    <row r="2051" spans="1:6" x14ac:dyDescent="0.25">
      <c r="A2051" s="310"/>
      <c r="B2051" s="260"/>
      <c r="C2051" s="311"/>
      <c r="D2051" s="311"/>
      <c r="E2051" s="312"/>
      <c r="F2051" s="313"/>
    </row>
    <row r="2052" spans="1:6" x14ac:dyDescent="0.25">
      <c r="A2052" s="310"/>
      <c r="B2052" s="260"/>
      <c r="C2052" s="311"/>
      <c r="D2052" s="311"/>
      <c r="E2052" s="312"/>
      <c r="F2052" s="313"/>
    </row>
    <row r="2053" spans="1:6" x14ac:dyDescent="0.25">
      <c r="A2053" s="310"/>
      <c r="B2053" s="260"/>
      <c r="C2053" s="311"/>
      <c r="D2053" s="311"/>
      <c r="E2053" s="312"/>
      <c r="F2053" s="313"/>
    </row>
    <row r="2054" spans="1:6" x14ac:dyDescent="0.25">
      <c r="A2054" s="310"/>
      <c r="B2054" s="314"/>
      <c r="C2054" s="311"/>
      <c r="D2054" s="311"/>
      <c r="E2054" s="312"/>
      <c r="F2054" s="313"/>
    </row>
    <row r="2055" spans="1:6" x14ac:dyDescent="0.25">
      <c r="A2055" s="310"/>
      <c r="B2055" s="260"/>
      <c r="C2055" s="311"/>
      <c r="D2055" s="311"/>
      <c r="E2055" s="312"/>
      <c r="F2055" s="313"/>
    </row>
    <row r="2056" spans="1:6" x14ac:dyDescent="0.25">
      <c r="A2056" s="310"/>
      <c r="B2056" s="260"/>
      <c r="C2056" s="311"/>
      <c r="D2056" s="311"/>
      <c r="E2056" s="312"/>
      <c r="F2056" s="313"/>
    </row>
    <row r="2057" spans="1:6" x14ac:dyDescent="0.25">
      <c r="A2057" s="310"/>
      <c r="B2057" s="260"/>
      <c r="C2057" s="311"/>
      <c r="D2057" s="311"/>
      <c r="E2057" s="312"/>
      <c r="F2057" s="313"/>
    </row>
    <row r="2058" spans="1:6" x14ac:dyDescent="0.25">
      <c r="A2058" s="310"/>
      <c r="B2058" s="260"/>
      <c r="C2058" s="311"/>
      <c r="D2058" s="311"/>
      <c r="E2058" s="312"/>
      <c r="F2058" s="313"/>
    </row>
    <row r="2059" spans="1:6" x14ac:dyDescent="0.25">
      <c r="A2059" s="310"/>
      <c r="B2059" s="260"/>
      <c r="C2059" s="311"/>
      <c r="D2059" s="311"/>
      <c r="E2059" s="312"/>
      <c r="F2059" s="313"/>
    </row>
    <row r="2060" spans="1:6" x14ac:dyDescent="0.25">
      <c r="A2060" s="310"/>
      <c r="B2060" s="260"/>
      <c r="C2060" s="311"/>
      <c r="D2060" s="311"/>
      <c r="E2060" s="312"/>
      <c r="F2060" s="313"/>
    </row>
    <row r="2061" spans="1:6" x14ac:dyDescent="0.25">
      <c r="A2061" s="310"/>
      <c r="B2061" s="260"/>
      <c r="C2061" s="311"/>
      <c r="D2061" s="311"/>
      <c r="E2061" s="312"/>
      <c r="F2061" s="313"/>
    </row>
    <row r="2062" spans="1:6" x14ac:dyDescent="0.25">
      <c r="A2062" s="310"/>
      <c r="B2062" s="260"/>
      <c r="C2062" s="311"/>
      <c r="D2062" s="311"/>
      <c r="E2062" s="312"/>
      <c r="F2062" s="313"/>
    </row>
    <row r="2063" spans="1:6" x14ac:dyDescent="0.25">
      <c r="A2063" s="310"/>
      <c r="B2063" s="260"/>
      <c r="C2063" s="311"/>
      <c r="D2063" s="311"/>
      <c r="E2063" s="312"/>
      <c r="F2063" s="313"/>
    </row>
    <row r="2064" spans="1:6" x14ac:dyDescent="0.25">
      <c r="A2064" s="310"/>
      <c r="B2064" s="314"/>
      <c r="C2064" s="311"/>
      <c r="D2064" s="311"/>
      <c r="E2064" s="312"/>
      <c r="F2064" s="313"/>
    </row>
    <row r="2065" spans="1:6" x14ac:dyDescent="0.25">
      <c r="A2065" s="338"/>
      <c r="B2065" s="314"/>
      <c r="C2065" s="311"/>
      <c r="D2065" s="311"/>
      <c r="E2065" s="312"/>
      <c r="F2065" s="405"/>
    </row>
    <row r="2066" spans="1:6" x14ac:dyDescent="0.25">
      <c r="A2066" s="310"/>
      <c r="B2066" s="260"/>
      <c r="C2066" s="311"/>
      <c r="D2066" s="311"/>
      <c r="E2066" s="312"/>
      <c r="F2066" s="313"/>
    </row>
    <row r="2067" spans="1:6" x14ac:dyDescent="0.25">
      <c r="A2067" s="310"/>
      <c r="B2067" s="260"/>
      <c r="C2067" s="311"/>
      <c r="D2067" s="311"/>
      <c r="E2067" s="312"/>
      <c r="F2067" s="313"/>
    </row>
    <row r="2068" spans="1:6" x14ac:dyDescent="0.25">
      <c r="A2068" s="310"/>
      <c r="B2068" s="260"/>
      <c r="C2068" s="311"/>
      <c r="D2068" s="311"/>
      <c r="E2068" s="312"/>
      <c r="F2068" s="313"/>
    </row>
    <row r="2069" spans="1:6" x14ac:dyDescent="0.25">
      <c r="A2069" s="310"/>
      <c r="B2069" s="260"/>
      <c r="C2069" s="311"/>
      <c r="D2069" s="311"/>
      <c r="E2069" s="312"/>
      <c r="F2069" s="313"/>
    </row>
    <row r="2070" spans="1:6" x14ac:dyDescent="0.25">
      <c r="A2070" s="310"/>
      <c r="B2070" s="260"/>
      <c r="C2070" s="311"/>
      <c r="D2070" s="311"/>
      <c r="E2070" s="312"/>
      <c r="F2070" s="313"/>
    </row>
    <row r="2071" spans="1:6" x14ac:dyDescent="0.25">
      <c r="A2071" s="310"/>
      <c r="B2071" s="260"/>
      <c r="C2071" s="311"/>
      <c r="D2071" s="311"/>
      <c r="E2071" s="312"/>
      <c r="F2071" s="313"/>
    </row>
    <row r="2072" spans="1:6" x14ac:dyDescent="0.25">
      <c r="A2072" s="310"/>
      <c r="B2072" s="260"/>
      <c r="C2072" s="311"/>
      <c r="D2072" s="311"/>
      <c r="E2072" s="312"/>
      <c r="F2072" s="313"/>
    </row>
    <row r="2073" spans="1:6" x14ac:dyDescent="0.25">
      <c r="A2073" s="310"/>
      <c r="B2073" s="260"/>
      <c r="C2073" s="311"/>
      <c r="D2073" s="311"/>
      <c r="E2073" s="312"/>
      <c r="F2073" s="313"/>
    </row>
    <row r="2074" spans="1:6" x14ac:dyDescent="0.25">
      <c r="A2074" s="310"/>
      <c r="B2074" s="260"/>
      <c r="C2074" s="311"/>
      <c r="D2074" s="311"/>
      <c r="E2074" s="312"/>
      <c r="F2074" s="313"/>
    </row>
    <row r="2075" spans="1:6" x14ac:dyDescent="0.25">
      <c r="A2075" s="310"/>
      <c r="B2075" s="260"/>
      <c r="C2075" s="311"/>
      <c r="D2075" s="311"/>
      <c r="E2075" s="312"/>
      <c r="F2075" s="313"/>
    </row>
    <row r="2078" spans="1:6" x14ac:dyDescent="0.25">
      <c r="B2078" s="274"/>
    </row>
    <row r="2079" spans="1:6" x14ac:dyDescent="0.25">
      <c r="B2079" s="274"/>
    </row>
    <row r="2080" spans="1:6" ht="15.75" thickBot="1" x14ac:dyDescent="0.3">
      <c r="A2080" s="264"/>
      <c r="B2080" s="398"/>
      <c r="C2080" s="266"/>
      <c r="D2080" s="266"/>
      <c r="E2080" s="267"/>
      <c r="F2080" s="399"/>
    </row>
    <row r="2081" spans="1:6" x14ac:dyDescent="0.25">
      <c r="A2081" s="400"/>
      <c r="B2081" s="401"/>
      <c r="C2081" s="402"/>
      <c r="D2081" s="402"/>
      <c r="E2081" s="403"/>
      <c r="F2081" s="404"/>
    </row>
    <row r="2082" spans="1:6" x14ac:dyDescent="0.25">
      <c r="B2082" s="274"/>
    </row>
    <row r="2083" spans="1:6" x14ac:dyDescent="0.25">
      <c r="A2083" s="310"/>
      <c r="B2083" s="260"/>
      <c r="C2083" s="311"/>
      <c r="D2083" s="311"/>
      <c r="E2083" s="322"/>
      <c r="F2083" s="313"/>
    </row>
    <row r="2084" spans="1:6" x14ac:dyDescent="0.25">
      <c r="A2084" s="310"/>
      <c r="B2084" s="260"/>
      <c r="C2084" s="311"/>
      <c r="D2084" s="311"/>
      <c r="E2084" s="322"/>
      <c r="F2084" s="313"/>
    </row>
    <row r="2085" spans="1:6" x14ac:dyDescent="0.25">
      <c r="A2085" s="310"/>
      <c r="B2085" s="260"/>
      <c r="C2085" s="311"/>
      <c r="D2085" s="311"/>
      <c r="E2085" s="322"/>
      <c r="F2085" s="313"/>
    </row>
    <row r="2086" spans="1:6" x14ac:dyDescent="0.25">
      <c r="A2086" s="310"/>
      <c r="B2086" s="260"/>
      <c r="C2086" s="311"/>
      <c r="D2086" s="311"/>
      <c r="E2086" s="322"/>
      <c r="F2086" s="313"/>
    </row>
    <row r="2087" spans="1:6" x14ac:dyDescent="0.25">
      <c r="A2087" s="310"/>
      <c r="B2087" s="260"/>
      <c r="C2087" s="311"/>
      <c r="D2087" s="311"/>
      <c r="E2087" s="322"/>
      <c r="F2087" s="313"/>
    </row>
    <row r="2088" spans="1:6" x14ac:dyDescent="0.25">
      <c r="A2088" s="310"/>
      <c r="B2088" s="260"/>
      <c r="C2088" s="311"/>
      <c r="D2088" s="311"/>
      <c r="E2088" s="322"/>
      <c r="F2088" s="313"/>
    </row>
    <row r="2089" spans="1:6" x14ac:dyDescent="0.25">
      <c r="A2089" s="310"/>
      <c r="B2089" s="303"/>
      <c r="C2089" s="311"/>
      <c r="D2089" s="311"/>
      <c r="E2089" s="312"/>
      <c r="F2089" s="313"/>
    </row>
    <row r="2090" spans="1:6" x14ac:dyDescent="0.25">
      <c r="A2090" s="310"/>
      <c r="B2090" s="303"/>
      <c r="C2090" s="311"/>
      <c r="D2090" s="311"/>
      <c r="E2090" s="312"/>
      <c r="F2090" s="313"/>
    </row>
    <row r="2091" spans="1:6" x14ac:dyDescent="0.25">
      <c r="A2091" s="310"/>
      <c r="B2091" s="303"/>
      <c r="C2091" s="311"/>
      <c r="D2091" s="311"/>
      <c r="E2091" s="312"/>
      <c r="F2091" s="313"/>
    </row>
    <row r="2092" spans="1:6" x14ac:dyDescent="0.25">
      <c r="A2092" s="310"/>
      <c r="B2092" s="303"/>
      <c r="C2092" s="311"/>
      <c r="D2092" s="311"/>
      <c r="E2092" s="312"/>
      <c r="F2092" s="313"/>
    </row>
    <row r="2093" spans="1:6" x14ac:dyDescent="0.25">
      <c r="A2093" s="310"/>
      <c r="B2093" s="303"/>
      <c r="C2093" s="311"/>
      <c r="D2093" s="311"/>
      <c r="E2093" s="312"/>
      <c r="F2093" s="313"/>
    </row>
    <row r="2094" spans="1:6" x14ac:dyDescent="0.25">
      <c r="A2094" s="310"/>
      <c r="B2094" s="303"/>
      <c r="C2094" s="311"/>
      <c r="D2094" s="311"/>
      <c r="E2094" s="312"/>
      <c r="F2094" s="313"/>
    </row>
    <row r="2095" spans="1:6" x14ac:dyDescent="0.25">
      <c r="A2095" s="310"/>
      <c r="B2095" s="303"/>
      <c r="C2095" s="311"/>
      <c r="D2095" s="311"/>
      <c r="E2095" s="312"/>
      <c r="F2095" s="313"/>
    </row>
    <row r="2096" spans="1:6" x14ac:dyDescent="0.25">
      <c r="A2096" s="310"/>
      <c r="B2096" s="303"/>
      <c r="C2096" s="311"/>
      <c r="D2096" s="311"/>
      <c r="E2096" s="312"/>
      <c r="F2096" s="313"/>
    </row>
    <row r="2097" spans="1:6" x14ac:dyDescent="0.25">
      <c r="A2097" s="310"/>
      <c r="B2097" s="303"/>
      <c r="C2097" s="311"/>
      <c r="D2097" s="311"/>
      <c r="E2097" s="312"/>
      <c r="F2097" s="313"/>
    </row>
    <row r="2098" spans="1:6" x14ac:dyDescent="0.25">
      <c r="A2098" s="310"/>
      <c r="B2098" s="303"/>
      <c r="C2098" s="311"/>
      <c r="D2098" s="311"/>
      <c r="E2098" s="312"/>
      <c r="F2098" s="313"/>
    </row>
    <row r="2099" spans="1:6" x14ac:dyDescent="0.25">
      <c r="A2099" s="310"/>
      <c r="B2099" s="303"/>
      <c r="C2099" s="311"/>
      <c r="D2099" s="311"/>
      <c r="E2099" s="312"/>
      <c r="F2099" s="313"/>
    </row>
    <row r="2100" spans="1:6" x14ac:dyDescent="0.25">
      <c r="A2100" s="310"/>
      <c r="B2100" s="303"/>
      <c r="C2100" s="311"/>
      <c r="D2100" s="311"/>
      <c r="E2100" s="312"/>
      <c r="F2100" s="313"/>
    </row>
    <row r="2101" spans="1:6" x14ac:dyDescent="0.25">
      <c r="A2101" s="310"/>
      <c r="B2101" s="303"/>
      <c r="C2101" s="311"/>
      <c r="D2101" s="311"/>
      <c r="E2101" s="312"/>
      <c r="F2101" s="313"/>
    </row>
    <row r="2102" spans="1:6" x14ac:dyDescent="0.25">
      <c r="A2102" s="310"/>
      <c r="B2102" s="303"/>
      <c r="C2102" s="311"/>
      <c r="D2102" s="311"/>
      <c r="E2102" s="312"/>
      <c r="F2102" s="313"/>
    </row>
    <row r="2103" spans="1:6" x14ac:dyDescent="0.25">
      <c r="A2103" s="310"/>
      <c r="B2103" s="303"/>
      <c r="C2103" s="311"/>
      <c r="D2103" s="311"/>
      <c r="E2103" s="312"/>
      <c r="F2103" s="313"/>
    </row>
    <row r="2104" spans="1:6" x14ac:dyDescent="0.25">
      <c r="A2104" s="310"/>
      <c r="B2104" s="303"/>
      <c r="C2104" s="311"/>
      <c r="D2104" s="311"/>
      <c r="E2104" s="312"/>
      <c r="F2104" s="313"/>
    </row>
    <row r="2105" spans="1:6" x14ac:dyDescent="0.25">
      <c r="A2105" s="310"/>
      <c r="B2105" s="303"/>
      <c r="C2105" s="311"/>
      <c r="D2105" s="311"/>
      <c r="E2105" s="312"/>
      <c r="F2105" s="313"/>
    </row>
    <row r="2106" spans="1:6" x14ac:dyDescent="0.25">
      <c r="A2106" s="310"/>
      <c r="B2106" s="303"/>
      <c r="C2106" s="311"/>
      <c r="D2106" s="311"/>
      <c r="E2106" s="312"/>
      <c r="F2106" s="313"/>
    </row>
    <row r="2107" spans="1:6" x14ac:dyDescent="0.25">
      <c r="A2107" s="310"/>
      <c r="B2107" s="303"/>
      <c r="C2107" s="311"/>
      <c r="D2107" s="311"/>
      <c r="E2107" s="312"/>
      <c r="F2107" s="313"/>
    </row>
    <row r="2108" spans="1:6" x14ac:dyDescent="0.25">
      <c r="A2108" s="310"/>
      <c r="B2108" s="303"/>
      <c r="C2108" s="311"/>
      <c r="D2108" s="311"/>
      <c r="E2108" s="312"/>
      <c r="F2108" s="313"/>
    </row>
    <row r="2109" spans="1:6" x14ac:dyDescent="0.25">
      <c r="A2109" s="310"/>
      <c r="B2109" s="303"/>
      <c r="C2109" s="311"/>
      <c r="D2109" s="311"/>
      <c r="E2109" s="312"/>
      <c r="F2109" s="313"/>
    </row>
    <row r="2110" spans="1:6" x14ac:dyDescent="0.25">
      <c r="A2110" s="310"/>
      <c r="B2110" s="303"/>
      <c r="C2110" s="311"/>
      <c r="D2110" s="311"/>
      <c r="E2110" s="312"/>
      <c r="F2110" s="313"/>
    </row>
    <row r="2111" spans="1:6" x14ac:dyDescent="0.25">
      <c r="A2111" s="310"/>
      <c r="B2111" s="303"/>
      <c r="C2111" s="311"/>
      <c r="D2111" s="311"/>
      <c r="E2111" s="312"/>
      <c r="F2111" s="313"/>
    </row>
    <row r="2112" spans="1:6" x14ac:dyDescent="0.25">
      <c r="A2112" s="310"/>
      <c r="B2112" s="303"/>
      <c r="C2112" s="311"/>
      <c r="D2112" s="311"/>
      <c r="E2112" s="312"/>
      <c r="F2112" s="313"/>
    </row>
    <row r="2113" spans="1:6" x14ac:dyDescent="0.25">
      <c r="A2113" s="310"/>
      <c r="B2113" s="260"/>
      <c r="C2113" s="311"/>
      <c r="D2113" s="311"/>
      <c r="E2113" s="312"/>
      <c r="F2113" s="313"/>
    </row>
    <row r="2120" spans="1:6" ht="15.75" thickBot="1" x14ac:dyDescent="0.3">
      <c r="A2120" s="264"/>
      <c r="B2120" s="398"/>
      <c r="C2120" s="266"/>
      <c r="D2120" s="266"/>
      <c r="E2120" s="267"/>
      <c r="F2120" s="399"/>
    </row>
    <row r="2121" spans="1:6" x14ac:dyDescent="0.25">
      <c r="A2121" s="400"/>
      <c r="B2121" s="401"/>
      <c r="C2121" s="402"/>
      <c r="D2121" s="402"/>
      <c r="E2121" s="403"/>
      <c r="F2121" s="404"/>
    </row>
    <row r="2122" spans="1:6" x14ac:dyDescent="0.25">
      <c r="B2122" s="275"/>
    </row>
    <row r="2123" spans="1:6" x14ac:dyDescent="0.25">
      <c r="B2123" s="276"/>
    </row>
    <row r="2125" spans="1:6" s="99" customFormat="1" ht="12.75" x14ac:dyDescent="0.25">
      <c r="A2125" s="256"/>
      <c r="B2125" s="276"/>
      <c r="E2125" s="258"/>
      <c r="F2125" s="118"/>
    </row>
    <row r="2126" spans="1:6" s="99" customFormat="1" ht="12.75" x14ac:dyDescent="0.25">
      <c r="A2126" s="256"/>
      <c r="B2126" s="275"/>
      <c r="E2126" s="258"/>
      <c r="F2126" s="118"/>
    </row>
    <row r="2128" spans="1:6" s="99" customFormat="1" ht="12.75" x14ac:dyDescent="0.25">
      <c r="A2128" s="256"/>
      <c r="B2128" s="275"/>
      <c r="E2128" s="258"/>
      <c r="F2128" s="118"/>
    </row>
    <row r="2129" spans="1:6" s="99" customFormat="1" ht="12.75" x14ac:dyDescent="0.25">
      <c r="A2129" s="256"/>
      <c r="B2129" s="275"/>
      <c r="E2129" s="258"/>
      <c r="F2129" s="118"/>
    </row>
    <row r="2130" spans="1:6" s="99" customFormat="1" ht="12.75" x14ac:dyDescent="0.25">
      <c r="A2130" s="256"/>
      <c r="B2130" s="275"/>
      <c r="E2130" s="258"/>
      <c r="F2130" s="118"/>
    </row>
    <row r="2131" spans="1:6" s="99" customFormat="1" ht="12.75" x14ac:dyDescent="0.25">
      <c r="A2131" s="256"/>
      <c r="B2131" s="275"/>
      <c r="E2131" s="258"/>
      <c r="F2131" s="118"/>
    </row>
    <row r="2132" spans="1:6" s="99" customFormat="1" ht="12.75" x14ac:dyDescent="0.25">
      <c r="A2132" s="256"/>
      <c r="B2132" s="275"/>
      <c r="E2132" s="258"/>
      <c r="F2132" s="118"/>
    </row>
    <row r="2133" spans="1:6" s="99" customFormat="1" ht="12.75" x14ac:dyDescent="0.25">
      <c r="A2133" s="256"/>
      <c r="B2133" s="275"/>
      <c r="E2133" s="258"/>
      <c r="F2133" s="118"/>
    </row>
    <row r="2134" spans="1:6" s="99" customFormat="1" ht="12.75" x14ac:dyDescent="0.25">
      <c r="A2134" s="256"/>
      <c r="B2134" s="275"/>
      <c r="E2134" s="258"/>
      <c r="F2134" s="118"/>
    </row>
    <row r="2135" spans="1:6" s="99" customFormat="1" ht="12.75" x14ac:dyDescent="0.25">
      <c r="A2135" s="256"/>
      <c r="B2135" s="275"/>
      <c r="E2135" s="258"/>
      <c r="F2135" s="118"/>
    </row>
    <row r="2136" spans="1:6" s="99" customFormat="1" ht="12.75" x14ac:dyDescent="0.25">
      <c r="A2136" s="256"/>
      <c r="B2136" s="275"/>
      <c r="E2136" s="258"/>
      <c r="F2136" s="118"/>
    </row>
    <row r="2137" spans="1:6" s="99" customFormat="1" ht="12.75" x14ac:dyDescent="0.25">
      <c r="A2137" s="256"/>
      <c r="B2137" s="275"/>
      <c r="E2137" s="258"/>
      <c r="F2137" s="118"/>
    </row>
    <row r="2138" spans="1:6" s="99" customFormat="1" ht="12.75" x14ac:dyDescent="0.25">
      <c r="A2138" s="256"/>
      <c r="B2138" s="275"/>
      <c r="E2138" s="258"/>
      <c r="F2138" s="118"/>
    </row>
    <row r="2139" spans="1:6" s="99" customFormat="1" ht="12.75" x14ac:dyDescent="0.25">
      <c r="A2139" s="256"/>
      <c r="B2139" s="275"/>
      <c r="E2139" s="258"/>
      <c r="F2139" s="118"/>
    </row>
    <row r="2140" spans="1:6" s="99" customFormat="1" ht="12.75" x14ac:dyDescent="0.25">
      <c r="A2140" s="256"/>
      <c r="B2140" s="275"/>
      <c r="E2140" s="258"/>
      <c r="F2140" s="118"/>
    </row>
    <row r="2141" spans="1:6" s="99" customFormat="1" ht="12.75" x14ac:dyDescent="0.25">
      <c r="A2141" s="256"/>
      <c r="B2141" s="275"/>
      <c r="E2141" s="258"/>
      <c r="F2141" s="118"/>
    </row>
    <row r="2142" spans="1:6" s="99" customFormat="1" ht="12.75" x14ac:dyDescent="0.25">
      <c r="A2142" s="256"/>
      <c r="B2142" s="275"/>
      <c r="E2142" s="258"/>
      <c r="F2142" s="118"/>
    </row>
    <row r="2143" spans="1:6" s="99" customFormat="1" ht="12.75" x14ac:dyDescent="0.25">
      <c r="A2143" s="256"/>
      <c r="B2143" s="275"/>
      <c r="E2143" s="258"/>
      <c r="F2143" s="118"/>
    </row>
    <row r="2144" spans="1:6" s="99" customFormat="1" ht="12.75" x14ac:dyDescent="0.25">
      <c r="A2144" s="256"/>
      <c r="B2144" s="275"/>
      <c r="E2144" s="258"/>
      <c r="F2144" s="118"/>
    </row>
    <row r="2145" spans="1:6" s="99" customFormat="1" ht="12.75" x14ac:dyDescent="0.25">
      <c r="A2145" s="256"/>
      <c r="B2145" s="275"/>
      <c r="E2145" s="258"/>
      <c r="F2145" s="118"/>
    </row>
    <row r="2146" spans="1:6" s="99" customFormat="1" ht="12.75" x14ac:dyDescent="0.25">
      <c r="A2146" s="256"/>
      <c r="B2146" s="275"/>
      <c r="E2146" s="258"/>
      <c r="F2146" s="118"/>
    </row>
    <row r="2147" spans="1:6" s="99" customFormat="1" ht="12.75" x14ac:dyDescent="0.25">
      <c r="A2147" s="256"/>
      <c r="B2147" s="275"/>
      <c r="E2147" s="258"/>
      <c r="F2147" s="118"/>
    </row>
    <row r="2148" spans="1:6" s="99" customFormat="1" ht="12.75" x14ac:dyDescent="0.25">
      <c r="A2148" s="256"/>
      <c r="B2148" s="275"/>
      <c r="E2148" s="258"/>
      <c r="F2148" s="118"/>
    </row>
    <row r="2149" spans="1:6" s="99" customFormat="1" ht="12.75" x14ac:dyDescent="0.25">
      <c r="A2149" s="256"/>
      <c r="B2149" s="275"/>
      <c r="E2149" s="258"/>
      <c r="F2149" s="118"/>
    </row>
    <row r="2150" spans="1:6" s="99" customFormat="1" ht="12.75" x14ac:dyDescent="0.25">
      <c r="A2150" s="256"/>
      <c r="B2150" s="275"/>
      <c r="E2150" s="258"/>
      <c r="F2150" s="118"/>
    </row>
    <row r="2151" spans="1:6" s="99" customFormat="1" ht="12.75" x14ac:dyDescent="0.25">
      <c r="A2151" s="256"/>
      <c r="B2151" s="275"/>
      <c r="E2151" s="258"/>
      <c r="F2151" s="118"/>
    </row>
    <row r="2152" spans="1:6" s="99" customFormat="1" ht="12.75" x14ac:dyDescent="0.25">
      <c r="A2152" s="256"/>
      <c r="B2152" s="275"/>
      <c r="E2152" s="258"/>
      <c r="F2152" s="118"/>
    </row>
    <row r="2153" spans="1:6" s="99" customFormat="1" ht="12.75" x14ac:dyDescent="0.25">
      <c r="A2153" s="256"/>
      <c r="B2153" s="275"/>
      <c r="E2153" s="258"/>
      <c r="F2153" s="118"/>
    </row>
    <row r="2154" spans="1:6" s="99" customFormat="1" ht="12.75" x14ac:dyDescent="0.25">
      <c r="A2154" s="256"/>
      <c r="B2154" s="275"/>
      <c r="E2154" s="258"/>
      <c r="F2154" s="118"/>
    </row>
    <row r="2155" spans="1:6" s="99" customFormat="1" ht="12.75" x14ac:dyDescent="0.25">
      <c r="A2155" s="256"/>
      <c r="B2155" s="275"/>
      <c r="E2155" s="258"/>
      <c r="F2155" s="118"/>
    </row>
    <row r="2156" spans="1:6" x14ac:dyDescent="0.25">
      <c r="B2156" s="275"/>
    </row>
    <row r="2157" spans="1:6" x14ac:dyDescent="0.25">
      <c r="B2157" s="275"/>
    </row>
    <row r="2158" spans="1:6" x14ac:dyDescent="0.25">
      <c r="B2158" s="275"/>
    </row>
    <row r="2159" spans="1:6" x14ac:dyDescent="0.25">
      <c r="B2159" s="275"/>
    </row>
    <row r="2160" spans="1:6" x14ac:dyDescent="0.25">
      <c r="B2160" s="275"/>
    </row>
    <row r="2161" spans="1:6" x14ac:dyDescent="0.25">
      <c r="B2161" s="275"/>
    </row>
    <row r="2162" spans="1:6" x14ac:dyDescent="0.25">
      <c r="B2162" s="275"/>
    </row>
    <row r="2163" spans="1:6" x14ac:dyDescent="0.25">
      <c r="B2163" s="275"/>
    </row>
    <row r="2164" spans="1:6" x14ac:dyDescent="0.25">
      <c r="B2164" s="275"/>
    </row>
    <row r="2165" spans="1:6" x14ac:dyDescent="0.25">
      <c r="B2165" s="275"/>
    </row>
    <row r="2166" spans="1:6" ht="15.75" thickBot="1" x14ac:dyDescent="0.3">
      <c r="A2166" s="264"/>
      <c r="B2166" s="406"/>
      <c r="C2166" s="266"/>
      <c r="D2166" s="266"/>
      <c r="E2166" s="267"/>
      <c r="F2166" s="399"/>
    </row>
    <row r="2167" spans="1:6" x14ac:dyDescent="0.25">
      <c r="A2167" s="400"/>
      <c r="B2167" s="401"/>
      <c r="C2167" s="402"/>
      <c r="D2167" s="402"/>
      <c r="E2167" s="403"/>
      <c r="F2167" s="404"/>
    </row>
    <row r="2173" spans="1:6" s="99" customFormat="1" ht="12.75" x14ac:dyDescent="0.2">
      <c r="A2173" s="256"/>
      <c r="B2173" s="262"/>
      <c r="E2173" s="258"/>
      <c r="F2173" s="118"/>
    </row>
    <row r="2175" spans="1:6" s="99" customFormat="1" ht="12.75" x14ac:dyDescent="0.2">
      <c r="A2175" s="256"/>
      <c r="B2175" s="260"/>
      <c r="E2175" s="258"/>
      <c r="F2175" s="118"/>
    </row>
    <row r="2176" spans="1:6" s="99" customFormat="1" ht="12.75" x14ac:dyDescent="0.2">
      <c r="A2176" s="256"/>
      <c r="B2176" s="260"/>
      <c r="E2176" s="258"/>
      <c r="F2176" s="118"/>
    </row>
    <row r="2177" spans="1:6" s="99" customFormat="1" ht="12.75" x14ac:dyDescent="0.2">
      <c r="A2177" s="256"/>
      <c r="B2177" s="260"/>
      <c r="E2177" s="258"/>
      <c r="F2177" s="118"/>
    </row>
    <row r="2178" spans="1:6" s="99" customFormat="1" ht="12.75" x14ac:dyDescent="0.2">
      <c r="A2178" s="256"/>
      <c r="B2178" s="260"/>
      <c r="E2178" s="258"/>
      <c r="F2178" s="118"/>
    </row>
    <row r="2179" spans="1:6" s="99" customFormat="1" ht="12.75" x14ac:dyDescent="0.2">
      <c r="A2179" s="256"/>
      <c r="B2179" s="260"/>
      <c r="E2179" s="258"/>
      <c r="F2179" s="118"/>
    </row>
    <row r="2180" spans="1:6" s="99" customFormat="1" ht="12.75" x14ac:dyDescent="0.2">
      <c r="A2180" s="256"/>
      <c r="B2180" s="260"/>
      <c r="E2180" s="258"/>
      <c r="F2180" s="118"/>
    </row>
    <row r="2181" spans="1:6" s="99" customFormat="1" ht="12.75" x14ac:dyDescent="0.2">
      <c r="A2181" s="256"/>
      <c r="B2181" s="260"/>
      <c r="E2181" s="258"/>
      <c r="F2181" s="118"/>
    </row>
    <row r="2182" spans="1:6" s="99" customFormat="1" ht="12.75" x14ac:dyDescent="0.2">
      <c r="A2182" s="256"/>
      <c r="B2182" s="260"/>
      <c r="E2182" s="258"/>
      <c r="F2182" s="118"/>
    </row>
    <row r="2183" spans="1:6" s="99" customFormat="1" ht="12.75" x14ac:dyDescent="0.2">
      <c r="A2183" s="256"/>
      <c r="B2183" s="260"/>
      <c r="E2183" s="258"/>
      <c r="F2183" s="118"/>
    </row>
    <row r="2184" spans="1:6" s="99" customFormat="1" ht="12.75" x14ac:dyDescent="0.2">
      <c r="A2184" s="256"/>
      <c r="B2184" s="260"/>
      <c r="E2184" s="258"/>
      <c r="F2184" s="118"/>
    </row>
    <row r="2185" spans="1:6" s="99" customFormat="1" ht="12.75" x14ac:dyDescent="0.2">
      <c r="A2185" s="256"/>
      <c r="B2185" s="260"/>
      <c r="E2185" s="258"/>
      <c r="F2185" s="118"/>
    </row>
    <row r="2186" spans="1:6" s="99" customFormat="1" ht="12.75" x14ac:dyDescent="0.2">
      <c r="A2186" s="256"/>
      <c r="B2186" s="317"/>
      <c r="E2186" s="258"/>
      <c r="F2186" s="118"/>
    </row>
    <row r="2187" spans="1:6" s="99" customFormat="1" ht="12.75" x14ac:dyDescent="0.2">
      <c r="A2187" s="256"/>
      <c r="B2187" s="295"/>
      <c r="E2187" s="258"/>
      <c r="F2187" s="118"/>
    </row>
    <row r="2188" spans="1:6" x14ac:dyDescent="0.25">
      <c r="B2188" s="274"/>
    </row>
    <row r="2189" spans="1:6" x14ac:dyDescent="0.25">
      <c r="B2189" s="274"/>
    </row>
    <row r="2191" spans="1:6" x14ac:dyDescent="0.25">
      <c r="B2191" s="260"/>
    </row>
    <row r="2192" spans="1:6" x14ac:dyDescent="0.25">
      <c r="B2192" s="260"/>
    </row>
    <row r="2193" spans="1:6" x14ac:dyDescent="0.25">
      <c r="B2193" s="262"/>
    </row>
    <row r="2194" spans="1:6" x14ac:dyDescent="0.25">
      <c r="B2194" s="371"/>
    </row>
    <row r="2195" spans="1:6" x14ac:dyDescent="0.25">
      <c r="B2195" s="371"/>
    </row>
    <row r="2196" spans="1:6" x14ac:dyDescent="0.25">
      <c r="B2196" s="371"/>
    </row>
    <row r="2197" spans="1:6" x14ac:dyDescent="0.25">
      <c r="B2197" s="371"/>
    </row>
    <row r="2198" spans="1:6" x14ac:dyDescent="0.25">
      <c r="B2198" s="371"/>
    </row>
    <row r="2199" spans="1:6" x14ac:dyDescent="0.25">
      <c r="B2199" s="371"/>
    </row>
    <row r="2200" spans="1:6" x14ac:dyDescent="0.25">
      <c r="B2200" s="371"/>
    </row>
    <row r="2201" spans="1:6" x14ac:dyDescent="0.25">
      <c r="B2201" s="371"/>
    </row>
    <row r="2202" spans="1:6" x14ac:dyDescent="0.25">
      <c r="B2202" s="319"/>
    </row>
    <row r="2203" spans="1:6" ht="15.75" thickBot="1" x14ac:dyDescent="0.3">
      <c r="A2203" s="264"/>
      <c r="B2203" s="398"/>
      <c r="C2203" s="266"/>
      <c r="D2203" s="266"/>
      <c r="E2203" s="267"/>
      <c r="F2203" s="399"/>
    </row>
    <row r="2204" spans="1:6" x14ac:dyDescent="0.25">
      <c r="A2204" s="400"/>
      <c r="B2204" s="401"/>
      <c r="C2204" s="402"/>
      <c r="D2204" s="402"/>
      <c r="E2204" s="403"/>
      <c r="F2204" s="404"/>
    </row>
    <row r="2206" spans="1:6" x14ac:dyDescent="0.25">
      <c r="B2206" s="260"/>
    </row>
    <row r="2208" spans="1:6" x14ac:dyDescent="0.25">
      <c r="B2208" s="262"/>
    </row>
    <row r="2210" spans="1:6" x14ac:dyDescent="0.25">
      <c r="B2210" s="295"/>
    </row>
    <row r="2211" spans="1:6" x14ac:dyDescent="0.25">
      <c r="B2211" s="274"/>
    </row>
    <row r="2212" spans="1:6" x14ac:dyDescent="0.25">
      <c r="B2212" s="274"/>
    </row>
    <row r="2216" spans="1:6" x14ac:dyDescent="0.25">
      <c r="B2216" s="262"/>
    </row>
    <row r="2217" spans="1:6" x14ac:dyDescent="0.25">
      <c r="B2217" s="274"/>
    </row>
    <row r="2218" spans="1:6" x14ac:dyDescent="0.25">
      <c r="B2218" s="274"/>
    </row>
    <row r="2220" spans="1:6" s="99" customFormat="1" ht="12.75" x14ac:dyDescent="0.2">
      <c r="A2220" s="256"/>
      <c r="B2220" s="260"/>
      <c r="E2220" s="258"/>
      <c r="F2220" s="118"/>
    </row>
    <row r="2221" spans="1:6" s="99" customFormat="1" ht="12.75" x14ac:dyDescent="0.2">
      <c r="A2221" s="256"/>
      <c r="B2221" s="260"/>
      <c r="E2221" s="258"/>
      <c r="F2221" s="118"/>
    </row>
    <row r="2222" spans="1:6" s="99" customFormat="1" ht="12.75" x14ac:dyDescent="0.2">
      <c r="A2222" s="256"/>
      <c r="B2222" s="295"/>
      <c r="E2222" s="258"/>
      <c r="F2222" s="118"/>
    </row>
    <row r="2224" spans="1:6" s="99" customFormat="1" ht="12.75" x14ac:dyDescent="0.2">
      <c r="A2224" s="256"/>
      <c r="B2224" s="262"/>
      <c r="E2224" s="258"/>
      <c r="F2224" s="118"/>
    </row>
    <row r="2225" spans="1:6" s="99" customFormat="1" ht="12.75" x14ac:dyDescent="0.2">
      <c r="A2225" s="256"/>
      <c r="B2225" s="274"/>
      <c r="E2225" s="258"/>
      <c r="F2225" s="118"/>
    </row>
    <row r="2226" spans="1:6" s="99" customFormat="1" ht="12.75" x14ac:dyDescent="0.2">
      <c r="A2226" s="256"/>
      <c r="B2226" s="260"/>
      <c r="E2226" s="258"/>
      <c r="F2226" s="118"/>
    </row>
    <row r="2227" spans="1:6" s="99" customFormat="1" ht="12.75" x14ac:dyDescent="0.2">
      <c r="A2227" s="256"/>
      <c r="B2227" s="274"/>
      <c r="E2227" s="258"/>
      <c r="F2227" s="118"/>
    </row>
    <row r="2228" spans="1:6" s="99" customFormat="1" ht="12.75" x14ac:dyDescent="0.2">
      <c r="A2228" s="256"/>
      <c r="B2228" s="274"/>
      <c r="E2228" s="258"/>
      <c r="F2228" s="118"/>
    </row>
    <row r="2229" spans="1:6" s="99" customFormat="1" ht="12.75" x14ac:dyDescent="0.2">
      <c r="A2229" s="256"/>
      <c r="B2229" s="274"/>
      <c r="E2229" s="258"/>
      <c r="F2229" s="118"/>
    </row>
    <row r="2230" spans="1:6" s="99" customFormat="1" ht="12.75" x14ac:dyDescent="0.2">
      <c r="A2230" s="256"/>
      <c r="B2230" s="262"/>
      <c r="E2230" s="258"/>
      <c r="F2230" s="118"/>
    </row>
    <row r="2231" spans="1:6" s="99" customFormat="1" ht="12.75" x14ac:dyDescent="0.2">
      <c r="A2231" s="256"/>
      <c r="B2231" s="260"/>
      <c r="E2231" s="258"/>
      <c r="F2231" s="118"/>
    </row>
    <row r="2232" spans="1:6" s="99" customFormat="1" ht="12.75" x14ac:dyDescent="0.2">
      <c r="A2232" s="256"/>
      <c r="B2232" s="260"/>
      <c r="E2232" s="258"/>
      <c r="F2232" s="118"/>
    </row>
    <row r="2233" spans="1:6" s="99" customFormat="1" ht="12.75" x14ac:dyDescent="0.2">
      <c r="A2233" s="256"/>
      <c r="B2233" s="274"/>
      <c r="E2233" s="258"/>
      <c r="F2233" s="118"/>
    </row>
    <row r="2234" spans="1:6" s="99" customFormat="1" ht="12.75" x14ac:dyDescent="0.2">
      <c r="A2234" s="256"/>
      <c r="B2234" s="274"/>
      <c r="E2234" s="258"/>
      <c r="F2234" s="118"/>
    </row>
    <row r="2235" spans="1:6" s="99" customFormat="1" ht="12.75" x14ac:dyDescent="0.2">
      <c r="A2235" s="256"/>
      <c r="B2235" s="260"/>
      <c r="E2235" s="258"/>
      <c r="F2235" s="118"/>
    </row>
    <row r="2236" spans="1:6" x14ac:dyDescent="0.25">
      <c r="B2236" s="286"/>
    </row>
    <row r="2237" spans="1:6" x14ac:dyDescent="0.25">
      <c r="B2237" s="286"/>
    </row>
    <row r="2238" spans="1:6" x14ac:dyDescent="0.25">
      <c r="B2238" s="286"/>
    </row>
    <row r="2241" spans="1:6" ht="15.75" thickBot="1" x14ac:dyDescent="0.3">
      <c r="A2241" s="264"/>
      <c r="B2241" s="398"/>
      <c r="C2241" s="266"/>
      <c r="D2241" s="266"/>
      <c r="E2241" s="267"/>
      <c r="F2241" s="399"/>
    </row>
    <row r="2242" spans="1:6" x14ac:dyDescent="0.25">
      <c r="A2242" s="400"/>
      <c r="B2242" s="401"/>
      <c r="C2242" s="402"/>
      <c r="D2242" s="402"/>
      <c r="E2242" s="403"/>
      <c r="F2242" s="404"/>
    </row>
    <row r="2243" spans="1:6" x14ac:dyDescent="0.25">
      <c r="B2243" s="276"/>
    </row>
    <row r="2244" spans="1:6" x14ac:dyDescent="0.25">
      <c r="B2244" s="123"/>
    </row>
    <row r="2245" spans="1:6" x14ac:dyDescent="0.25">
      <c r="B2245" s="260"/>
    </row>
    <row r="2246" spans="1:6" x14ac:dyDescent="0.25">
      <c r="B2246" s="262"/>
    </row>
    <row r="2248" spans="1:6" ht="15.75" thickBot="1" x14ac:dyDescent="0.3">
      <c r="A2248" s="264"/>
      <c r="B2248" s="398"/>
      <c r="C2248" s="266"/>
      <c r="D2248" s="266"/>
      <c r="E2248" s="267"/>
      <c r="F2248" s="399"/>
    </row>
    <row r="2250" spans="1:6" x14ac:dyDescent="0.25">
      <c r="B2250" s="276"/>
    </row>
    <row r="2252" spans="1:6" s="99" customFormat="1" ht="12.75" x14ac:dyDescent="0.25">
      <c r="A2252" s="256"/>
      <c r="B2252" s="276"/>
      <c r="E2252" s="258"/>
      <c r="F2252" s="118"/>
    </row>
    <row r="2254" spans="1:6" s="99" customFormat="1" ht="12.75" x14ac:dyDescent="0.25">
      <c r="A2254" s="256"/>
      <c r="B2254" s="276"/>
      <c r="E2254" s="258"/>
      <c r="F2254" s="118"/>
    </row>
    <row r="2256" spans="1:6" s="99" customFormat="1" ht="12.75" x14ac:dyDescent="0.2">
      <c r="A2256" s="256"/>
      <c r="B2256" s="260"/>
      <c r="E2256" s="258"/>
      <c r="F2256" s="118"/>
    </row>
    <row r="2257" spans="1:6" s="99" customFormat="1" ht="12.75" x14ac:dyDescent="0.2">
      <c r="A2257" s="256"/>
      <c r="B2257" s="274"/>
      <c r="E2257" s="258"/>
      <c r="F2257" s="118"/>
    </row>
    <row r="2258" spans="1:6" s="99" customFormat="1" ht="12.75" x14ac:dyDescent="0.2">
      <c r="A2258" s="256"/>
      <c r="B2258" s="274"/>
      <c r="E2258" s="258"/>
      <c r="F2258" s="118"/>
    </row>
    <row r="2260" spans="1:6" s="99" customFormat="1" ht="12.75" x14ac:dyDescent="0.2">
      <c r="A2260" s="256"/>
      <c r="B2260" s="262"/>
      <c r="E2260" s="258"/>
      <c r="F2260" s="118"/>
    </row>
    <row r="2261" spans="1:6" s="99" customFormat="1" ht="12.75" x14ac:dyDescent="0.25">
      <c r="A2261" s="256"/>
      <c r="B2261" s="276"/>
      <c r="E2261" s="258"/>
      <c r="F2261" s="118"/>
    </row>
    <row r="2262" spans="1:6" s="99" customFormat="1" ht="12.75" x14ac:dyDescent="0.2">
      <c r="A2262" s="256"/>
      <c r="B2262" s="260"/>
      <c r="E2262" s="258"/>
      <c r="F2262" s="118"/>
    </row>
    <row r="2263" spans="1:6" s="99" customFormat="1" ht="12.75" x14ac:dyDescent="0.25">
      <c r="A2263" s="256"/>
      <c r="B2263" s="276"/>
      <c r="E2263" s="258"/>
      <c r="F2263" s="118"/>
    </row>
    <row r="2264" spans="1:6" s="99" customFormat="1" ht="12.75" x14ac:dyDescent="0.2">
      <c r="A2264" s="256"/>
      <c r="B2264" s="274"/>
      <c r="E2264" s="258"/>
      <c r="F2264" s="118"/>
    </row>
    <row r="2265" spans="1:6" s="99" customFormat="1" ht="12.75" x14ac:dyDescent="0.25">
      <c r="A2265" s="256"/>
      <c r="B2265" s="276"/>
      <c r="E2265" s="258"/>
      <c r="F2265" s="118"/>
    </row>
    <row r="2266" spans="1:6" s="99" customFormat="1" ht="12.75" x14ac:dyDescent="0.2">
      <c r="A2266" s="256"/>
      <c r="B2266" s="123"/>
      <c r="E2266" s="258"/>
      <c r="F2266" s="118"/>
    </row>
    <row r="2267" spans="1:6" s="99" customFormat="1" ht="12.75" x14ac:dyDescent="0.2">
      <c r="A2267" s="256"/>
      <c r="B2267" s="260"/>
      <c r="E2267" s="258"/>
      <c r="F2267" s="118"/>
    </row>
    <row r="2268" spans="1:6" x14ac:dyDescent="0.25">
      <c r="B2268" s="262"/>
    </row>
    <row r="2269" spans="1:6" x14ac:dyDescent="0.25">
      <c r="B2269" s="274"/>
    </row>
    <row r="2270" spans="1:6" x14ac:dyDescent="0.25">
      <c r="B2270" s="274"/>
    </row>
    <row r="2271" spans="1:6" x14ac:dyDescent="0.25">
      <c r="B2271" s="274"/>
    </row>
    <row r="2272" spans="1:6" x14ac:dyDescent="0.25">
      <c r="B2272" s="274"/>
    </row>
    <row r="2273" spans="1:6" x14ac:dyDescent="0.25">
      <c r="B2273" s="274"/>
    </row>
    <row r="2274" spans="1:6" x14ac:dyDescent="0.25">
      <c r="B2274" s="274"/>
    </row>
    <row r="2275" spans="1:6" x14ac:dyDescent="0.25">
      <c r="B2275" s="274"/>
    </row>
    <row r="2276" spans="1:6" x14ac:dyDescent="0.25">
      <c r="B2276" s="274"/>
    </row>
    <row r="2277" spans="1:6" x14ac:dyDescent="0.25">
      <c r="B2277" s="274"/>
    </row>
    <row r="2278" spans="1:6" x14ac:dyDescent="0.25">
      <c r="B2278" s="274"/>
    </row>
    <row r="2279" spans="1:6" x14ac:dyDescent="0.25">
      <c r="B2279" s="274"/>
    </row>
    <row r="2280" spans="1:6" x14ac:dyDescent="0.25">
      <c r="B2280" s="274"/>
    </row>
    <row r="2281" spans="1:6" x14ac:dyDescent="0.25">
      <c r="B2281" s="274"/>
    </row>
    <row r="2282" spans="1:6" ht="15.75" thickBot="1" x14ac:dyDescent="0.3">
      <c r="A2282" s="264"/>
      <c r="B2282" s="406"/>
      <c r="C2282" s="266"/>
      <c r="D2282" s="266"/>
      <c r="E2282" s="267"/>
      <c r="F2282" s="399"/>
    </row>
    <row r="2283" spans="1:6" x14ac:dyDescent="0.25">
      <c r="A2283" s="400"/>
      <c r="B2283" s="401"/>
      <c r="C2283" s="402"/>
      <c r="D2283" s="402"/>
      <c r="E2283" s="403"/>
      <c r="F2283" s="404"/>
    </row>
    <row r="2284" spans="1:6" x14ac:dyDescent="0.25">
      <c r="B2284" s="276"/>
      <c r="F2284" s="407"/>
    </row>
    <row r="2285" spans="1:6" x14ac:dyDescent="0.25">
      <c r="B2285" s="276"/>
      <c r="E2285" s="99"/>
    </row>
    <row r="2286" spans="1:6" x14ac:dyDescent="0.25">
      <c r="B2286" s="276"/>
      <c r="E2286" s="99"/>
    </row>
    <row r="2287" spans="1:6" x14ac:dyDescent="0.25">
      <c r="A2287" s="73"/>
      <c r="B2287" s="178"/>
      <c r="C2287" s="74"/>
      <c r="D2287" s="74"/>
      <c r="E2287" s="74"/>
      <c r="F2287" s="76"/>
    </row>
    <row r="2288" spans="1:6" x14ac:dyDescent="0.25">
      <c r="A2288" s="73"/>
      <c r="B2288" s="153"/>
      <c r="C2288" s="74"/>
      <c r="D2288" s="74"/>
      <c r="E2288" s="74"/>
      <c r="F2288" s="76"/>
    </row>
    <row r="2289" spans="1:6" x14ac:dyDescent="0.25">
      <c r="A2289" s="73"/>
      <c r="B2289" s="90"/>
      <c r="C2289" s="74"/>
      <c r="D2289" s="74"/>
      <c r="E2289" s="74"/>
      <c r="F2289" s="76"/>
    </row>
    <row r="2290" spans="1:6" x14ac:dyDescent="0.25">
      <c r="A2290" s="73"/>
      <c r="B2290" s="90"/>
      <c r="C2290" s="74"/>
      <c r="D2290" s="74"/>
      <c r="E2290" s="74"/>
      <c r="F2290" s="76"/>
    </row>
    <row r="2291" spans="1:6" x14ac:dyDescent="0.25">
      <c r="A2291" s="73"/>
      <c r="B2291" s="90"/>
      <c r="C2291" s="74"/>
      <c r="D2291" s="74"/>
      <c r="E2291" s="74"/>
      <c r="F2291" s="76"/>
    </row>
    <row r="2292" spans="1:6" x14ac:dyDescent="0.25">
      <c r="A2292" s="73"/>
      <c r="B2292" s="90"/>
      <c r="C2292" s="74"/>
      <c r="D2292" s="74"/>
      <c r="E2292" s="74"/>
      <c r="F2292" s="76"/>
    </row>
    <row r="2293" spans="1:6" x14ac:dyDescent="0.25">
      <c r="A2293" s="73"/>
      <c r="B2293" s="90"/>
      <c r="C2293" s="74"/>
      <c r="D2293" s="74"/>
      <c r="E2293" s="74"/>
      <c r="F2293" s="76"/>
    </row>
    <row r="2294" spans="1:6" x14ac:dyDescent="0.25">
      <c r="A2294" s="73"/>
      <c r="B2294" s="90"/>
      <c r="C2294" s="74"/>
      <c r="D2294" s="74"/>
      <c r="E2294" s="74"/>
      <c r="F2294" s="76"/>
    </row>
    <row r="2295" spans="1:6" x14ac:dyDescent="0.25">
      <c r="A2295" s="73"/>
      <c r="B2295" s="90"/>
      <c r="C2295" s="74"/>
      <c r="D2295" s="74"/>
      <c r="E2295" s="74"/>
      <c r="F2295" s="76"/>
    </row>
    <row r="2296" spans="1:6" x14ac:dyDescent="0.25">
      <c r="A2296" s="73"/>
      <c r="B2296" s="90"/>
      <c r="C2296" s="74"/>
      <c r="D2296" s="74"/>
      <c r="E2296" s="74"/>
      <c r="F2296" s="76"/>
    </row>
    <row r="2297" spans="1:6" x14ac:dyDescent="0.25">
      <c r="A2297" s="73"/>
      <c r="B2297" s="90"/>
      <c r="C2297" s="74"/>
      <c r="D2297" s="74"/>
      <c r="E2297" s="74"/>
      <c r="F2297" s="76"/>
    </row>
    <row r="2298" spans="1:6" ht="15.75" thickBot="1" x14ac:dyDescent="0.3">
      <c r="B2298" s="274"/>
      <c r="E2298" s="99"/>
    </row>
    <row r="2299" spans="1:6" ht="15.75" thickBot="1" x14ac:dyDescent="0.3">
      <c r="A2299" s="378"/>
      <c r="B2299" s="408"/>
      <c r="C2299" s="380"/>
      <c r="D2299" s="380"/>
      <c r="E2299" s="473"/>
      <c r="F2299" s="474"/>
    </row>
    <row r="2300" spans="1:6" x14ac:dyDescent="0.25">
      <c r="A2300" s="381"/>
      <c r="B2300" s="409"/>
      <c r="C2300" s="383"/>
      <c r="D2300" s="383"/>
      <c r="E2300" s="383"/>
      <c r="F2300" s="384"/>
    </row>
    <row r="2301" spans="1:6" x14ac:dyDescent="0.25">
      <c r="A2301" s="385"/>
      <c r="B2301" s="367"/>
      <c r="C2301" s="386"/>
      <c r="D2301" s="386"/>
      <c r="E2301" s="386"/>
      <c r="F2301" s="117"/>
    </row>
    <row r="2302" spans="1:6" x14ac:dyDescent="0.25">
      <c r="A2302" s="385"/>
      <c r="B2302" s="371"/>
      <c r="C2302" s="386"/>
      <c r="D2302" s="386"/>
      <c r="E2302" s="392"/>
      <c r="F2302" s="117"/>
    </row>
    <row r="2303" spans="1:6" x14ac:dyDescent="0.25">
      <c r="A2303" s="385"/>
      <c r="B2303" s="371"/>
      <c r="C2303" s="386"/>
      <c r="D2303" s="386"/>
      <c r="E2303" s="392"/>
      <c r="F2303" s="117"/>
    </row>
    <row r="2304" spans="1:6" x14ac:dyDescent="0.25">
      <c r="A2304" s="385"/>
      <c r="B2304" s="262"/>
      <c r="C2304" s="386"/>
      <c r="D2304" s="386"/>
      <c r="E2304" s="386"/>
      <c r="F2304" s="393"/>
    </row>
    <row r="2305" spans="1:6" x14ac:dyDescent="0.25">
      <c r="A2305" s="385"/>
      <c r="B2305" s="367"/>
      <c r="C2305" s="386"/>
      <c r="D2305" s="386"/>
      <c r="E2305" s="386"/>
      <c r="F2305" s="393"/>
    </row>
    <row r="2306" spans="1:6" x14ac:dyDescent="0.25">
      <c r="A2306" s="385"/>
      <c r="B2306" s="262"/>
      <c r="C2306" s="386"/>
      <c r="D2306" s="386"/>
      <c r="E2306" s="386"/>
      <c r="F2306" s="393"/>
    </row>
    <row r="2307" spans="1:6" x14ac:dyDescent="0.25">
      <c r="A2307" s="385"/>
      <c r="B2307" s="367"/>
      <c r="C2307" s="386"/>
      <c r="D2307" s="386"/>
      <c r="E2307" s="386"/>
      <c r="F2307" s="393"/>
    </row>
    <row r="2308" spans="1:6" x14ac:dyDescent="0.25">
      <c r="A2308" s="385"/>
      <c r="B2308" s="262"/>
      <c r="C2308" s="386"/>
      <c r="D2308" s="386"/>
      <c r="E2308" s="386"/>
      <c r="F2308" s="393"/>
    </row>
    <row r="2309" spans="1:6" x14ac:dyDescent="0.25">
      <c r="A2309" s="385"/>
      <c r="B2309" s="367"/>
      <c r="C2309" s="386"/>
      <c r="D2309" s="386"/>
      <c r="E2309" s="386"/>
      <c r="F2309" s="393"/>
    </row>
    <row r="2310" spans="1:6" x14ac:dyDescent="0.25">
      <c r="A2310" s="385"/>
      <c r="B2310" s="262"/>
      <c r="C2310" s="386"/>
      <c r="D2310" s="386"/>
      <c r="E2310" s="386"/>
      <c r="F2310" s="393"/>
    </row>
    <row r="2311" spans="1:6" x14ac:dyDescent="0.25">
      <c r="A2311" s="385"/>
      <c r="B2311" s="371"/>
      <c r="C2311" s="386"/>
      <c r="D2311" s="386"/>
      <c r="E2311" s="392"/>
      <c r="F2311" s="117"/>
    </row>
    <row r="2312" spans="1:6" x14ac:dyDescent="0.25">
      <c r="A2312" s="385"/>
      <c r="B2312" s="371"/>
      <c r="C2312" s="386"/>
      <c r="D2312" s="386"/>
      <c r="E2312" s="392"/>
      <c r="F2312" s="117"/>
    </row>
    <row r="2313" spans="1:6" x14ac:dyDescent="0.25">
      <c r="A2313" s="385"/>
      <c r="B2313" s="371"/>
      <c r="C2313" s="386"/>
      <c r="D2313" s="386"/>
      <c r="E2313" s="392"/>
      <c r="F2313" s="117"/>
    </row>
    <row r="2314" spans="1:6" x14ac:dyDescent="0.25">
      <c r="A2314" s="385"/>
      <c r="B2314" s="371"/>
      <c r="C2314" s="386"/>
      <c r="D2314" s="386"/>
      <c r="E2314" s="386"/>
      <c r="F2314" s="117"/>
    </row>
    <row r="2315" spans="1:6" x14ac:dyDescent="0.25">
      <c r="A2315" s="385"/>
      <c r="B2315" s="410"/>
      <c r="C2315" s="386"/>
      <c r="D2315" s="386"/>
      <c r="E2315" s="386"/>
      <c r="F2315" s="411"/>
    </row>
    <row r="2316" spans="1:6" x14ac:dyDescent="0.25">
      <c r="A2316" s="385"/>
      <c r="B2316" s="410"/>
      <c r="C2316" s="386"/>
      <c r="D2316" s="386"/>
      <c r="E2316" s="386"/>
      <c r="F2316" s="411"/>
    </row>
    <row r="2317" spans="1:6" x14ac:dyDescent="0.25">
      <c r="A2317" s="385"/>
      <c r="B2317" s="410"/>
      <c r="C2317" s="386"/>
      <c r="D2317" s="386"/>
      <c r="E2317" s="386"/>
      <c r="F2317" s="411"/>
    </row>
    <row r="2318" spans="1:6" x14ac:dyDescent="0.25">
      <c r="A2318" s="385"/>
      <c r="B2318" s="410"/>
      <c r="C2318" s="386"/>
      <c r="D2318" s="386"/>
      <c r="E2318" s="386"/>
      <c r="F2318" s="411"/>
    </row>
    <row r="2319" spans="1:6" x14ac:dyDescent="0.25">
      <c r="A2319" s="385"/>
      <c r="B2319" s="396"/>
      <c r="C2319" s="386"/>
      <c r="D2319" s="386"/>
      <c r="E2319" s="386"/>
      <c r="F2319" s="117"/>
    </row>
    <row r="2320" spans="1:6" x14ac:dyDescent="0.25">
      <c r="A2320" s="385"/>
      <c r="B2320" s="410"/>
      <c r="C2320" s="386"/>
      <c r="D2320" s="386"/>
      <c r="E2320" s="386"/>
      <c r="F2320" s="411"/>
    </row>
    <row r="2321" spans="1:6" x14ac:dyDescent="0.25">
      <c r="A2321" s="385"/>
      <c r="B2321" s="367"/>
      <c r="C2321" s="386"/>
      <c r="D2321" s="386"/>
      <c r="E2321" s="386"/>
      <c r="F2321" s="117"/>
    </row>
    <row r="2322" spans="1:6" x14ac:dyDescent="0.25">
      <c r="A2322" s="385"/>
      <c r="B2322" s="397"/>
      <c r="C2322" s="386"/>
      <c r="D2322" s="386"/>
      <c r="E2322" s="386"/>
      <c r="F2322" s="393"/>
    </row>
    <row r="2323" spans="1:6" x14ac:dyDescent="0.25">
      <c r="A2323" s="385"/>
      <c r="B2323" s="371"/>
      <c r="C2323" s="386"/>
      <c r="D2323" s="386"/>
      <c r="E2323" s="386"/>
      <c r="F2323" s="393"/>
    </row>
    <row r="2324" spans="1:6" x14ac:dyDescent="0.25">
      <c r="A2324" s="385"/>
      <c r="B2324" s="397"/>
      <c r="C2324" s="386"/>
      <c r="D2324" s="386"/>
      <c r="E2324" s="386"/>
      <c r="F2324" s="393"/>
    </row>
    <row r="2325" spans="1:6" x14ac:dyDescent="0.25">
      <c r="A2325" s="385"/>
      <c r="B2325" s="371"/>
      <c r="C2325" s="386"/>
      <c r="D2325" s="386"/>
      <c r="E2325" s="386"/>
      <c r="F2325" s="393"/>
    </row>
    <row r="2326" spans="1:6" x14ac:dyDescent="0.25">
      <c r="A2326" s="385"/>
      <c r="B2326" s="371"/>
      <c r="C2326" s="386"/>
      <c r="D2326" s="386"/>
      <c r="E2326" s="386"/>
      <c r="F2326" s="393"/>
    </row>
    <row r="2327" spans="1:6" x14ac:dyDescent="0.25">
      <c r="A2327" s="385"/>
      <c r="B2327" s="387"/>
      <c r="C2327" s="386"/>
      <c r="D2327" s="386"/>
      <c r="E2327" s="386"/>
      <c r="F2327" s="393"/>
    </row>
    <row r="2328" spans="1:6" x14ac:dyDescent="0.25">
      <c r="A2328" s="385"/>
      <c r="B2328" s="262"/>
      <c r="C2328" s="386"/>
      <c r="D2328" s="386"/>
      <c r="E2328" s="386"/>
      <c r="F2328" s="393"/>
    </row>
    <row r="2329" spans="1:6" x14ac:dyDescent="0.25">
      <c r="B2329" s="260"/>
      <c r="F2329" s="333"/>
    </row>
    <row r="2330" spans="1:6" x14ac:dyDescent="0.25">
      <c r="B2330" s="260"/>
      <c r="F2330" s="333"/>
    </row>
    <row r="2331" spans="1:6" x14ac:dyDescent="0.25">
      <c r="B2331" s="275"/>
    </row>
    <row r="2332" spans="1:6" s="99" customFormat="1" ht="12.75" x14ac:dyDescent="0.2">
      <c r="A2332" s="256"/>
      <c r="B2332" s="262"/>
      <c r="E2332" s="258"/>
      <c r="F2332" s="118"/>
    </row>
    <row r="2334" spans="1:6" s="99" customFormat="1" ht="12.75" x14ac:dyDescent="0.2">
      <c r="A2334" s="256"/>
      <c r="B2334" s="123"/>
      <c r="E2334" s="258"/>
      <c r="F2334" s="118"/>
    </row>
    <row r="2336" spans="1:6" s="99" customFormat="1" ht="12.75" x14ac:dyDescent="0.2">
      <c r="A2336" s="256"/>
      <c r="B2336" s="262"/>
      <c r="E2336" s="258"/>
      <c r="F2336" s="118"/>
    </row>
    <row r="2338" spans="1:6" s="99" customFormat="1" ht="12.75" x14ac:dyDescent="0.2">
      <c r="A2338" s="256"/>
      <c r="B2338" s="123"/>
      <c r="E2338" s="258"/>
      <c r="F2338" s="118"/>
    </row>
    <row r="2340" spans="1:6" s="99" customFormat="1" ht="12.75" x14ac:dyDescent="0.2">
      <c r="A2340" s="256"/>
      <c r="B2340" s="260"/>
      <c r="E2340" s="258"/>
      <c r="F2340" s="118"/>
    </row>
    <row r="2341" spans="1:6" s="99" customFormat="1" ht="12.75" x14ac:dyDescent="0.2">
      <c r="A2341" s="256"/>
      <c r="B2341" s="260"/>
      <c r="E2341" s="258"/>
      <c r="F2341" s="118"/>
    </row>
    <row r="2342" spans="1:6" s="99" customFormat="1" ht="12.75" x14ac:dyDescent="0.2">
      <c r="A2342" s="256"/>
      <c r="B2342" s="295"/>
      <c r="E2342" s="258"/>
      <c r="F2342" s="118"/>
    </row>
    <row r="2343" spans="1:6" s="99" customFormat="1" ht="12.75" x14ac:dyDescent="0.2">
      <c r="A2343" s="256"/>
      <c r="B2343" s="260"/>
      <c r="E2343" s="258"/>
      <c r="F2343" s="118"/>
    </row>
    <row r="2344" spans="1:6" s="99" customFormat="1" ht="12.75" x14ac:dyDescent="0.2">
      <c r="A2344" s="256"/>
      <c r="B2344" s="260"/>
      <c r="E2344" s="258"/>
      <c r="F2344" s="118"/>
    </row>
    <row r="2345" spans="1:6" s="99" customFormat="1" ht="12.75" x14ac:dyDescent="0.2">
      <c r="A2345" s="256"/>
      <c r="B2345" s="260"/>
      <c r="E2345" s="258"/>
      <c r="F2345" s="118"/>
    </row>
    <row r="2346" spans="1:6" s="99" customFormat="1" ht="12.75" x14ac:dyDescent="0.2">
      <c r="A2346" s="256"/>
      <c r="B2346" s="262"/>
      <c r="E2346" s="258"/>
      <c r="F2346" s="118"/>
    </row>
    <row r="2347" spans="1:6" s="99" customFormat="1" ht="12.75" x14ac:dyDescent="0.2">
      <c r="A2347" s="256"/>
      <c r="B2347" s="260"/>
      <c r="E2347" s="258"/>
      <c r="F2347" s="118"/>
    </row>
    <row r="2348" spans="1:6" x14ac:dyDescent="0.25">
      <c r="B2348" s="260"/>
    </row>
    <row r="2353" spans="1:6" x14ac:dyDescent="0.25">
      <c r="B2353" s="123"/>
      <c r="E2353" s="412"/>
      <c r="F2353" s="413"/>
    </row>
    <row r="2354" spans="1:6" ht="15.75" thickBot="1" x14ac:dyDescent="0.3">
      <c r="A2354" s="264"/>
      <c r="B2354" s="398"/>
      <c r="C2354" s="266"/>
      <c r="D2354" s="266"/>
      <c r="E2354" s="267"/>
      <c r="F2354" s="399"/>
    </row>
    <row r="2355" spans="1:6" x14ac:dyDescent="0.25">
      <c r="A2355" s="400"/>
      <c r="B2355" s="401"/>
      <c r="C2355" s="402"/>
      <c r="D2355" s="402"/>
      <c r="E2355" s="403"/>
      <c r="F2355" s="404"/>
    </row>
    <row r="2356" spans="1:6" x14ac:dyDescent="0.25">
      <c r="B2356" s="275"/>
    </row>
    <row r="2357" spans="1:6" x14ac:dyDescent="0.25">
      <c r="B2357" s="260"/>
    </row>
    <row r="2359" spans="1:6" x14ac:dyDescent="0.25">
      <c r="B2359" s="262"/>
    </row>
    <row r="2361" spans="1:6" x14ac:dyDescent="0.25">
      <c r="B2361" s="295"/>
    </row>
    <row r="2362" spans="1:6" x14ac:dyDescent="0.25">
      <c r="B2362" s="274"/>
    </row>
    <row r="2363" spans="1:6" x14ac:dyDescent="0.25">
      <c r="B2363" s="274"/>
    </row>
    <row r="2367" spans="1:6" s="99" customFormat="1" ht="12.75" x14ac:dyDescent="0.2">
      <c r="A2367" s="256"/>
      <c r="B2367" s="262"/>
      <c r="E2367" s="258"/>
      <c r="F2367" s="118"/>
    </row>
    <row r="2368" spans="1:6" s="99" customFormat="1" ht="12.75" x14ac:dyDescent="0.2">
      <c r="A2368" s="256"/>
      <c r="B2368" s="274"/>
      <c r="E2368" s="258"/>
      <c r="F2368" s="118"/>
    </row>
    <row r="2369" spans="1:6" s="99" customFormat="1" ht="12.75" x14ac:dyDescent="0.2">
      <c r="A2369" s="256"/>
      <c r="B2369" s="274"/>
      <c r="E2369" s="258"/>
      <c r="F2369" s="118"/>
    </row>
    <row r="2371" spans="1:6" s="99" customFormat="1" ht="12.75" x14ac:dyDescent="0.2">
      <c r="A2371" s="256"/>
      <c r="B2371" s="260"/>
      <c r="E2371" s="258"/>
      <c r="F2371" s="118"/>
    </row>
    <row r="2372" spans="1:6" s="99" customFormat="1" ht="12.75" x14ac:dyDescent="0.2">
      <c r="A2372" s="256"/>
      <c r="B2372" s="260"/>
      <c r="E2372" s="258"/>
      <c r="F2372" s="118"/>
    </row>
    <row r="2373" spans="1:6" s="99" customFormat="1" ht="12.75" x14ac:dyDescent="0.2">
      <c r="A2373" s="256"/>
      <c r="B2373" s="295"/>
      <c r="E2373" s="258"/>
      <c r="F2373" s="118"/>
    </row>
    <row r="2375" spans="1:6" s="99" customFormat="1" ht="12.75" x14ac:dyDescent="0.2">
      <c r="A2375" s="256"/>
      <c r="B2375" s="262"/>
      <c r="E2375" s="258"/>
      <c r="F2375" s="118"/>
    </row>
    <row r="2376" spans="1:6" s="99" customFormat="1" ht="12.75" x14ac:dyDescent="0.2">
      <c r="A2376" s="256"/>
      <c r="B2376" s="274"/>
      <c r="E2376" s="258"/>
      <c r="F2376" s="118"/>
    </row>
    <row r="2377" spans="1:6" s="99" customFormat="1" ht="12.75" x14ac:dyDescent="0.2">
      <c r="A2377" s="256"/>
      <c r="B2377" s="260"/>
      <c r="E2377" s="258"/>
      <c r="F2377" s="118"/>
    </row>
    <row r="2378" spans="1:6" s="99" customFormat="1" ht="12.75" x14ac:dyDescent="0.2">
      <c r="A2378" s="256"/>
      <c r="B2378" s="274"/>
      <c r="E2378" s="258"/>
      <c r="F2378" s="118"/>
    </row>
    <row r="2379" spans="1:6" s="99" customFormat="1" ht="12.75" x14ac:dyDescent="0.2">
      <c r="A2379" s="256"/>
      <c r="B2379" s="274"/>
      <c r="E2379" s="258"/>
      <c r="F2379" s="118"/>
    </row>
    <row r="2380" spans="1:6" x14ac:dyDescent="0.25">
      <c r="B2380" s="274"/>
    </row>
    <row r="2381" spans="1:6" x14ac:dyDescent="0.25">
      <c r="B2381" s="262"/>
    </row>
    <row r="2382" spans="1:6" x14ac:dyDescent="0.25">
      <c r="B2382" s="260"/>
    </row>
    <row r="2383" spans="1:6" x14ac:dyDescent="0.25">
      <c r="B2383" s="260"/>
    </row>
    <row r="2384" spans="1:6" x14ac:dyDescent="0.25">
      <c r="B2384" s="274"/>
    </row>
    <row r="2385" spans="1:6" x14ac:dyDescent="0.25">
      <c r="B2385" s="274"/>
    </row>
    <row r="2386" spans="1:6" x14ac:dyDescent="0.25">
      <c r="B2386" s="260"/>
    </row>
    <row r="2387" spans="1:6" x14ac:dyDescent="0.25">
      <c r="B2387" s="286"/>
    </row>
    <row r="2388" spans="1:6" x14ac:dyDescent="0.25">
      <c r="B2388" s="286"/>
    </row>
    <row r="2389" spans="1:6" x14ac:dyDescent="0.25">
      <c r="B2389" s="286"/>
    </row>
    <row r="2392" spans="1:6" ht="15.75" thickBot="1" x14ac:dyDescent="0.3">
      <c r="A2392" s="264"/>
      <c r="B2392" s="398"/>
      <c r="C2392" s="266"/>
      <c r="D2392" s="266"/>
      <c r="E2392" s="267"/>
      <c r="F2392" s="399"/>
    </row>
    <row r="2393" spans="1:6" x14ac:dyDescent="0.25">
      <c r="A2393" s="400"/>
      <c r="B2393" s="401"/>
      <c r="C2393" s="402"/>
      <c r="D2393" s="402"/>
      <c r="E2393" s="403"/>
      <c r="F2393" s="404"/>
    </row>
    <row r="2395" spans="1:6" x14ac:dyDescent="0.25">
      <c r="B2395" s="123"/>
    </row>
    <row r="2396" spans="1:6" x14ac:dyDescent="0.25">
      <c r="B2396" s="260"/>
    </row>
    <row r="2397" spans="1:6" x14ac:dyDescent="0.25">
      <c r="B2397" s="262"/>
    </row>
    <row r="2398" spans="1:6" x14ac:dyDescent="0.25">
      <c r="B2398" s="274"/>
    </row>
    <row r="2399" spans="1:6" x14ac:dyDescent="0.25">
      <c r="B2399" s="262"/>
    </row>
    <row r="2402" spans="1:6" ht="15.75" thickBot="1" x14ac:dyDescent="0.3">
      <c r="A2402" s="264"/>
      <c r="B2402" s="398"/>
      <c r="C2402" s="266"/>
      <c r="D2402" s="266"/>
      <c r="E2402" s="267"/>
      <c r="F2402" s="399"/>
    </row>
    <row r="2404" spans="1:6" s="99" customFormat="1" ht="12.75" x14ac:dyDescent="0.25">
      <c r="A2404" s="256"/>
      <c r="B2404" s="276"/>
      <c r="E2404" s="258"/>
      <c r="F2404" s="118"/>
    </row>
    <row r="2406" spans="1:6" s="99" customFormat="1" ht="12.75" x14ac:dyDescent="0.25">
      <c r="A2406" s="256"/>
      <c r="B2406" s="276"/>
      <c r="E2406" s="258"/>
      <c r="F2406" s="118"/>
    </row>
    <row r="2408" spans="1:6" s="99" customFormat="1" ht="12.75" x14ac:dyDescent="0.25">
      <c r="A2408" s="256"/>
      <c r="B2408" s="276"/>
      <c r="E2408" s="258"/>
      <c r="F2408" s="118"/>
    </row>
    <row r="2410" spans="1:6" s="99" customFormat="1" ht="12.75" x14ac:dyDescent="0.25">
      <c r="A2410" s="256"/>
      <c r="B2410" s="276"/>
      <c r="E2410" s="258"/>
      <c r="F2410" s="118"/>
    </row>
    <row r="2415" spans="1:6" s="99" customFormat="1" ht="12.75" x14ac:dyDescent="0.2">
      <c r="A2415" s="256"/>
      <c r="B2415" s="274"/>
      <c r="E2415" s="258"/>
      <c r="F2415" s="118"/>
    </row>
    <row r="2416" spans="1:6" s="99" customFormat="1" ht="12.75" x14ac:dyDescent="0.2">
      <c r="A2416" s="256"/>
      <c r="B2416" s="274"/>
      <c r="E2416" s="258"/>
      <c r="F2416" s="118"/>
    </row>
    <row r="2417" spans="1:6" s="99" customFormat="1" ht="12.75" x14ac:dyDescent="0.2">
      <c r="A2417" s="256"/>
      <c r="B2417" s="295"/>
      <c r="E2417" s="258"/>
      <c r="F2417" s="118"/>
    </row>
    <row r="2418" spans="1:6" s="99" customFormat="1" ht="12.75" x14ac:dyDescent="0.2">
      <c r="A2418" s="256"/>
      <c r="B2418" s="274"/>
      <c r="E2418" s="258"/>
      <c r="F2418" s="118"/>
    </row>
    <row r="2419" spans="1:6" x14ac:dyDescent="0.25">
      <c r="B2419" s="274"/>
    </row>
    <row r="2426" spans="1:6" ht="15.75" thickBot="1" x14ac:dyDescent="0.3">
      <c r="A2426" s="264"/>
      <c r="B2426" s="406"/>
      <c r="C2426" s="266"/>
      <c r="D2426" s="266"/>
      <c r="E2426" s="267"/>
      <c r="F2426" s="399"/>
    </row>
    <row r="2427" spans="1:6" x14ac:dyDescent="0.25">
      <c r="A2427" s="400"/>
      <c r="B2427" s="401"/>
      <c r="C2427" s="402"/>
      <c r="D2427" s="402"/>
      <c r="E2427" s="403"/>
      <c r="F2427" s="404"/>
    </row>
    <row r="2428" spans="1:6" s="99" customFormat="1" ht="12.75" x14ac:dyDescent="0.25">
      <c r="A2428" s="256"/>
      <c r="B2428" s="276"/>
      <c r="E2428" s="258"/>
      <c r="F2428" s="118"/>
    </row>
    <row r="2429" spans="1:6" s="99" customFormat="1" ht="12.75" x14ac:dyDescent="0.25">
      <c r="A2429" s="256"/>
      <c r="B2429" s="276"/>
      <c r="E2429" s="258"/>
      <c r="F2429" s="118"/>
    </row>
    <row r="2430" spans="1:6" s="99" customFormat="1" ht="12.75" x14ac:dyDescent="0.25">
      <c r="A2430" s="256"/>
      <c r="B2430" s="275"/>
      <c r="E2430" s="258"/>
      <c r="F2430" s="118"/>
    </row>
    <row r="2431" spans="1:6" s="99" customFormat="1" ht="12.75" x14ac:dyDescent="0.25">
      <c r="A2431" s="256"/>
      <c r="B2431" s="276"/>
      <c r="E2431" s="258"/>
      <c r="F2431" s="118"/>
    </row>
    <row r="2432" spans="1:6" s="99" customFormat="1" ht="12.75" x14ac:dyDescent="0.25">
      <c r="A2432" s="256"/>
      <c r="B2432" s="275"/>
      <c r="E2432" s="258"/>
      <c r="F2432" s="118"/>
    </row>
    <row r="2433" spans="1:6" s="99" customFormat="1" ht="12.75" x14ac:dyDescent="0.25">
      <c r="A2433" s="256"/>
      <c r="B2433" s="276"/>
      <c r="E2433" s="258"/>
      <c r="F2433" s="118"/>
    </row>
    <row r="2434" spans="1:6" s="99" customFormat="1" ht="12.75" x14ac:dyDescent="0.25">
      <c r="A2434" s="256"/>
      <c r="B2434" s="275"/>
      <c r="E2434" s="258"/>
      <c r="F2434" s="118"/>
    </row>
    <row r="2435" spans="1:6" s="99" customFormat="1" ht="12.75" x14ac:dyDescent="0.25">
      <c r="A2435" s="256"/>
      <c r="B2435" s="276"/>
      <c r="E2435" s="258"/>
      <c r="F2435" s="118"/>
    </row>
    <row r="2436" spans="1:6" s="99" customFormat="1" ht="12.75" x14ac:dyDescent="0.25">
      <c r="A2436" s="256"/>
      <c r="B2436" s="276"/>
      <c r="E2436" s="258"/>
      <c r="F2436" s="118"/>
    </row>
    <row r="2437" spans="1:6" s="99" customFormat="1" ht="12.75" x14ac:dyDescent="0.25">
      <c r="A2437" s="256"/>
      <c r="B2437" s="276"/>
      <c r="E2437" s="258"/>
      <c r="F2437" s="118"/>
    </row>
    <row r="2438" spans="1:6" s="99" customFormat="1" ht="12.75" x14ac:dyDescent="0.25">
      <c r="A2438" s="256"/>
      <c r="B2438" s="276"/>
      <c r="E2438" s="258"/>
      <c r="F2438" s="118"/>
    </row>
    <row r="2439" spans="1:6" s="99" customFormat="1" ht="12.75" x14ac:dyDescent="0.25">
      <c r="A2439" s="256"/>
      <c r="B2439" s="276"/>
      <c r="E2439" s="258"/>
      <c r="F2439" s="118"/>
    </row>
    <row r="2440" spans="1:6" s="99" customFormat="1" ht="12.75" x14ac:dyDescent="0.25">
      <c r="A2440" s="256"/>
      <c r="B2440" s="276"/>
      <c r="E2440" s="258"/>
      <c r="F2440" s="118"/>
    </row>
    <row r="2441" spans="1:6" s="99" customFormat="1" ht="12.75" x14ac:dyDescent="0.25">
      <c r="A2441" s="256"/>
      <c r="B2441" s="276"/>
      <c r="E2441" s="258"/>
      <c r="F2441" s="118"/>
    </row>
    <row r="2442" spans="1:6" s="99" customFormat="1" ht="12.75" x14ac:dyDescent="0.25">
      <c r="A2442" s="256"/>
      <c r="B2442" s="276"/>
      <c r="E2442" s="258"/>
      <c r="F2442" s="118"/>
    </row>
    <row r="2443" spans="1:6" s="99" customFormat="1" ht="12.75" x14ac:dyDescent="0.25">
      <c r="A2443" s="256"/>
      <c r="B2443" s="276"/>
      <c r="E2443" s="258"/>
      <c r="F2443" s="118"/>
    </row>
    <row r="2444" spans="1:6" s="99" customFormat="1" ht="12.75" x14ac:dyDescent="0.25">
      <c r="A2444" s="256"/>
      <c r="B2444" s="276"/>
      <c r="E2444" s="258"/>
      <c r="F2444" s="118"/>
    </row>
    <row r="2445" spans="1:6" s="99" customFormat="1" ht="12.75" x14ac:dyDescent="0.25">
      <c r="A2445" s="256"/>
      <c r="B2445" s="276"/>
      <c r="E2445" s="258"/>
      <c r="F2445" s="118"/>
    </row>
    <row r="2446" spans="1:6" s="99" customFormat="1" ht="12.75" x14ac:dyDescent="0.25">
      <c r="A2446" s="256"/>
      <c r="B2446" s="276"/>
      <c r="E2446" s="258"/>
      <c r="F2446" s="118"/>
    </row>
    <row r="2447" spans="1:6" s="99" customFormat="1" ht="12.75" x14ac:dyDescent="0.25">
      <c r="A2447" s="256"/>
      <c r="B2447" s="276"/>
      <c r="E2447" s="258"/>
      <c r="F2447" s="118"/>
    </row>
    <row r="2448" spans="1:6" s="99" customFormat="1" ht="12.75" x14ac:dyDescent="0.25">
      <c r="A2448" s="256"/>
      <c r="B2448" s="276"/>
      <c r="E2448" s="258"/>
      <c r="F2448" s="118"/>
    </row>
    <row r="2449" spans="1:6" s="99" customFormat="1" ht="12.75" x14ac:dyDescent="0.25">
      <c r="A2449" s="256"/>
      <c r="B2449" s="276"/>
      <c r="E2449" s="258"/>
      <c r="F2449" s="118"/>
    </row>
    <row r="2450" spans="1:6" s="99" customFormat="1" ht="12.75" x14ac:dyDescent="0.25">
      <c r="A2450" s="256"/>
      <c r="B2450" s="276"/>
      <c r="E2450" s="258"/>
      <c r="F2450" s="118"/>
    </row>
    <row r="2451" spans="1:6" s="99" customFormat="1" ht="12.75" x14ac:dyDescent="0.25">
      <c r="A2451" s="256"/>
      <c r="B2451" s="276"/>
      <c r="E2451" s="258"/>
      <c r="F2451" s="118"/>
    </row>
    <row r="2452" spans="1:6" s="99" customFormat="1" ht="12.75" x14ac:dyDescent="0.25">
      <c r="A2452" s="256"/>
      <c r="B2452" s="276"/>
      <c r="E2452" s="258"/>
      <c r="F2452" s="118"/>
    </row>
    <row r="2453" spans="1:6" s="99" customFormat="1" ht="12.75" x14ac:dyDescent="0.25">
      <c r="A2453" s="256"/>
      <c r="B2453" s="276"/>
      <c r="E2453" s="258"/>
      <c r="F2453" s="118"/>
    </row>
    <row r="2454" spans="1:6" s="99" customFormat="1" ht="12.75" x14ac:dyDescent="0.25">
      <c r="A2454" s="256"/>
      <c r="B2454" s="276"/>
      <c r="E2454" s="258"/>
      <c r="F2454" s="118"/>
    </row>
    <row r="2455" spans="1:6" s="99" customFormat="1" ht="12.75" x14ac:dyDescent="0.25">
      <c r="A2455" s="256"/>
      <c r="B2455" s="276"/>
      <c r="E2455" s="258"/>
      <c r="F2455" s="118"/>
    </row>
    <row r="2456" spans="1:6" s="99" customFormat="1" ht="12.75" x14ac:dyDescent="0.25">
      <c r="A2456" s="256"/>
      <c r="B2456" s="276"/>
      <c r="E2456" s="258"/>
      <c r="F2456" s="118"/>
    </row>
    <row r="2457" spans="1:6" s="99" customFormat="1" ht="12.75" x14ac:dyDescent="0.25">
      <c r="A2457" s="256"/>
      <c r="B2457" s="276"/>
      <c r="E2457" s="258"/>
      <c r="F2457" s="118"/>
    </row>
    <row r="2458" spans="1:6" s="99" customFormat="1" ht="12.75" x14ac:dyDescent="0.25">
      <c r="A2458" s="256"/>
      <c r="B2458" s="276"/>
      <c r="E2458" s="258"/>
      <c r="F2458" s="118"/>
    </row>
    <row r="2459" spans="1:6" s="99" customFormat="1" ht="12.75" x14ac:dyDescent="0.25">
      <c r="A2459" s="256"/>
      <c r="B2459" s="276"/>
      <c r="E2459" s="258"/>
      <c r="F2459" s="118"/>
    </row>
    <row r="2460" spans="1:6" x14ac:dyDescent="0.25">
      <c r="B2460" s="276"/>
    </row>
    <row r="2461" spans="1:6" x14ac:dyDescent="0.25">
      <c r="B2461" s="276"/>
    </row>
    <row r="2462" spans="1:6" x14ac:dyDescent="0.25">
      <c r="B2462" s="276"/>
    </row>
    <row r="2463" spans="1:6" x14ac:dyDescent="0.25">
      <c r="B2463" s="276"/>
    </row>
    <row r="2464" spans="1:6" x14ac:dyDescent="0.25">
      <c r="B2464" s="276"/>
    </row>
    <row r="2465" spans="1:6" x14ac:dyDescent="0.25">
      <c r="B2465" s="276"/>
    </row>
    <row r="2466" spans="1:6" x14ac:dyDescent="0.25">
      <c r="B2466" s="276"/>
    </row>
    <row r="2467" spans="1:6" x14ac:dyDescent="0.25">
      <c r="B2467" s="276"/>
    </row>
    <row r="2468" spans="1:6" x14ac:dyDescent="0.25">
      <c r="B2468" s="276"/>
    </row>
    <row r="2469" spans="1:6" x14ac:dyDescent="0.25">
      <c r="B2469" s="276"/>
    </row>
    <row r="2470" spans="1:6" x14ac:dyDescent="0.25">
      <c r="B2470" s="276"/>
    </row>
    <row r="2471" spans="1:6" x14ac:dyDescent="0.25">
      <c r="B2471" s="276"/>
    </row>
    <row r="2472" spans="1:6" ht="15.75" thickBot="1" x14ac:dyDescent="0.3">
      <c r="A2472" s="264"/>
      <c r="B2472" s="398"/>
      <c r="C2472" s="266"/>
      <c r="D2472" s="266"/>
      <c r="E2472" s="267"/>
      <c r="F2472" s="399"/>
    </row>
    <row r="2473" spans="1:6" x14ac:dyDescent="0.25">
      <c r="A2473" s="400"/>
      <c r="B2473" s="401"/>
      <c r="C2473" s="402"/>
      <c r="D2473" s="402"/>
      <c r="E2473" s="403"/>
      <c r="F2473" s="404"/>
    </row>
    <row r="2474" spans="1:6" x14ac:dyDescent="0.25">
      <c r="B2474" s="275"/>
    </row>
    <row r="2475" spans="1:6" x14ac:dyDescent="0.25">
      <c r="B2475" s="331"/>
    </row>
    <row r="2476" spans="1:6" s="99" customFormat="1" ht="12.75" x14ac:dyDescent="0.25">
      <c r="A2476" s="256"/>
      <c r="B2476" s="331"/>
      <c r="E2476" s="258"/>
      <c r="F2476" s="118"/>
    </row>
    <row r="2477" spans="1:6" s="99" customFormat="1" ht="12.75" x14ac:dyDescent="0.2">
      <c r="A2477" s="256"/>
      <c r="B2477" s="260"/>
      <c r="E2477" s="258"/>
      <c r="F2477" s="118"/>
    </row>
    <row r="2478" spans="1:6" s="99" customFormat="1" ht="12.75" x14ac:dyDescent="0.2">
      <c r="A2478" s="256"/>
      <c r="B2478" s="260"/>
      <c r="E2478" s="258"/>
      <c r="F2478" s="118"/>
    </row>
    <row r="2479" spans="1:6" s="99" customFormat="1" ht="12.75" x14ac:dyDescent="0.2">
      <c r="A2479" s="256"/>
      <c r="B2479" s="260"/>
      <c r="E2479" s="258"/>
      <c r="F2479" s="118"/>
    </row>
    <row r="2480" spans="1:6" s="99" customFormat="1" ht="12.75" x14ac:dyDescent="0.2">
      <c r="A2480" s="256"/>
      <c r="B2480" s="260"/>
      <c r="E2480" s="258"/>
      <c r="F2480" s="118"/>
    </row>
    <row r="2481" spans="1:6" s="99" customFormat="1" ht="12.75" x14ac:dyDescent="0.2">
      <c r="A2481" s="256"/>
      <c r="B2481" s="260"/>
      <c r="E2481" s="258"/>
      <c r="F2481" s="118"/>
    </row>
    <row r="2482" spans="1:6" s="99" customFormat="1" ht="12.75" x14ac:dyDescent="0.2">
      <c r="A2482" s="256"/>
      <c r="B2482" s="260"/>
      <c r="E2482" s="258"/>
      <c r="F2482" s="118"/>
    </row>
    <row r="2483" spans="1:6" s="99" customFormat="1" ht="12.75" x14ac:dyDescent="0.2">
      <c r="A2483" s="256"/>
      <c r="B2483" s="262"/>
      <c r="E2483" s="258"/>
      <c r="F2483" s="118"/>
    </row>
    <row r="2484" spans="1:6" s="99" customFormat="1" ht="12.75" x14ac:dyDescent="0.2">
      <c r="A2484" s="256"/>
      <c r="B2484" s="260"/>
      <c r="E2484" s="258"/>
      <c r="F2484" s="118"/>
    </row>
    <row r="2485" spans="1:6" s="99" customFormat="1" ht="12.75" x14ac:dyDescent="0.2">
      <c r="A2485" s="256"/>
      <c r="B2485" s="260"/>
      <c r="E2485" s="258"/>
      <c r="F2485" s="118"/>
    </row>
    <row r="2486" spans="1:6" s="99" customFormat="1" ht="12.75" x14ac:dyDescent="0.2">
      <c r="A2486" s="256"/>
      <c r="B2486" s="260"/>
      <c r="E2486" s="258"/>
      <c r="F2486" s="118"/>
    </row>
    <row r="2487" spans="1:6" s="99" customFormat="1" ht="12.75" x14ac:dyDescent="0.2">
      <c r="A2487" s="256"/>
      <c r="B2487" s="260"/>
      <c r="E2487" s="258"/>
      <c r="F2487" s="118"/>
    </row>
    <row r="2488" spans="1:6" s="99" customFormat="1" ht="12.75" x14ac:dyDescent="0.2">
      <c r="A2488" s="256"/>
      <c r="B2488" s="280"/>
      <c r="E2488" s="258"/>
      <c r="F2488" s="118"/>
    </row>
    <row r="2489" spans="1:6" s="99" customFormat="1" ht="12.75" x14ac:dyDescent="0.2">
      <c r="A2489" s="256"/>
      <c r="B2489" s="260"/>
      <c r="E2489" s="258"/>
      <c r="F2489" s="118"/>
    </row>
    <row r="2490" spans="1:6" s="99" customFormat="1" ht="12.75" x14ac:dyDescent="0.25">
      <c r="A2490" s="256"/>
      <c r="B2490" s="275"/>
      <c r="E2490" s="258"/>
      <c r="F2490" s="118"/>
    </row>
    <row r="2491" spans="1:6" s="99" customFormat="1" ht="12.75" x14ac:dyDescent="0.2">
      <c r="A2491" s="256"/>
      <c r="B2491" s="260"/>
      <c r="E2491" s="258"/>
      <c r="F2491" s="118"/>
    </row>
    <row r="2492" spans="1:6" s="99" customFormat="1" ht="12.75" x14ac:dyDescent="0.2">
      <c r="A2492" s="256"/>
      <c r="B2492" s="260"/>
      <c r="E2492" s="258"/>
      <c r="F2492" s="118"/>
    </row>
    <row r="2493" spans="1:6" s="99" customFormat="1" ht="12.75" x14ac:dyDescent="0.2">
      <c r="A2493" s="256"/>
      <c r="B2493" s="260"/>
      <c r="E2493" s="258"/>
      <c r="F2493" s="118"/>
    </row>
    <row r="2494" spans="1:6" s="99" customFormat="1" ht="12.75" x14ac:dyDescent="0.2">
      <c r="A2494" s="256"/>
      <c r="B2494" s="260"/>
      <c r="E2494" s="258"/>
      <c r="F2494" s="118"/>
    </row>
    <row r="2495" spans="1:6" s="99" customFormat="1" ht="12.75" x14ac:dyDescent="0.2">
      <c r="A2495" s="256"/>
      <c r="B2495" s="260"/>
      <c r="E2495" s="258"/>
      <c r="F2495" s="118"/>
    </row>
    <row r="2496" spans="1:6" s="99" customFormat="1" ht="12.75" x14ac:dyDescent="0.25">
      <c r="A2496" s="256"/>
      <c r="B2496" s="275"/>
      <c r="E2496" s="258"/>
      <c r="F2496" s="118"/>
    </row>
    <row r="2497" spans="1:6" s="99" customFormat="1" ht="12.75" x14ac:dyDescent="0.25">
      <c r="A2497" s="256"/>
      <c r="B2497" s="286"/>
      <c r="E2497" s="258"/>
      <c r="F2497" s="118"/>
    </row>
    <row r="2498" spans="1:6" s="99" customFormat="1" ht="12.75" x14ac:dyDescent="0.25">
      <c r="A2498" s="256"/>
      <c r="B2498" s="275"/>
      <c r="E2498" s="258"/>
      <c r="F2498" s="118"/>
    </row>
    <row r="2499" spans="1:6" s="99" customFormat="1" ht="12.75" x14ac:dyDescent="0.2">
      <c r="A2499" s="256"/>
      <c r="B2499" s="260"/>
      <c r="E2499" s="258"/>
      <c r="F2499" s="118"/>
    </row>
    <row r="2500" spans="1:6" s="99" customFormat="1" ht="12.75" x14ac:dyDescent="0.2">
      <c r="A2500" s="256"/>
      <c r="B2500" s="260"/>
      <c r="E2500" s="258"/>
      <c r="F2500" s="118"/>
    </row>
    <row r="2501" spans="1:6" s="99" customFormat="1" ht="12.75" x14ac:dyDescent="0.2">
      <c r="A2501" s="256"/>
      <c r="B2501" s="260"/>
      <c r="E2501" s="258"/>
      <c r="F2501" s="118"/>
    </row>
    <row r="2502" spans="1:6" s="99" customFormat="1" ht="12.75" x14ac:dyDescent="0.2">
      <c r="A2502" s="256"/>
      <c r="B2502" s="260"/>
      <c r="E2502" s="258"/>
      <c r="F2502" s="118"/>
    </row>
    <row r="2503" spans="1:6" s="99" customFormat="1" ht="12.75" x14ac:dyDescent="0.2">
      <c r="A2503" s="256"/>
      <c r="B2503" s="260"/>
      <c r="E2503" s="258"/>
      <c r="F2503" s="118"/>
    </row>
    <row r="2504" spans="1:6" s="99" customFormat="1" ht="12.75" x14ac:dyDescent="0.2">
      <c r="A2504" s="256"/>
      <c r="B2504" s="260"/>
      <c r="E2504" s="258"/>
      <c r="F2504" s="118"/>
    </row>
    <row r="2505" spans="1:6" s="99" customFormat="1" ht="12.75" x14ac:dyDescent="0.2">
      <c r="A2505" s="256"/>
      <c r="B2505" s="260"/>
      <c r="E2505" s="258"/>
      <c r="F2505" s="118"/>
    </row>
    <row r="2506" spans="1:6" s="99" customFormat="1" ht="12.75" x14ac:dyDescent="0.2">
      <c r="A2506" s="256"/>
      <c r="B2506" s="260"/>
      <c r="E2506" s="258"/>
      <c r="F2506" s="118"/>
    </row>
    <row r="2507" spans="1:6" s="99" customFormat="1" ht="12.75" x14ac:dyDescent="0.2">
      <c r="A2507" s="256"/>
      <c r="B2507" s="274"/>
      <c r="E2507" s="258"/>
      <c r="F2507" s="118"/>
    </row>
    <row r="2508" spans="1:6" x14ac:dyDescent="0.25">
      <c r="B2508" s="260"/>
    </row>
    <row r="2509" spans="1:6" x14ac:dyDescent="0.25">
      <c r="B2509" s="260"/>
    </row>
    <row r="2510" spans="1:6" x14ac:dyDescent="0.25">
      <c r="B2510" s="275"/>
    </row>
    <row r="2511" spans="1:6" x14ac:dyDescent="0.25">
      <c r="B2511" s="275"/>
    </row>
    <row r="2512" spans="1:6" x14ac:dyDescent="0.25">
      <c r="B2512" s="275"/>
    </row>
    <row r="2513" spans="1:6" ht="15.75" thickBot="1" x14ac:dyDescent="0.3">
      <c r="A2513" s="264"/>
      <c r="B2513" s="398"/>
      <c r="C2513" s="266"/>
      <c r="D2513" s="266"/>
      <c r="E2513" s="267"/>
      <c r="F2513" s="399"/>
    </row>
    <row r="2514" spans="1:6" x14ac:dyDescent="0.25">
      <c r="A2514" s="400"/>
      <c r="B2514" s="401"/>
      <c r="C2514" s="402"/>
      <c r="D2514" s="402"/>
      <c r="E2514" s="403"/>
      <c r="F2514" s="404"/>
    </row>
    <row r="2516" spans="1:6" x14ac:dyDescent="0.25">
      <c r="B2516" s="295"/>
    </row>
    <row r="2517" spans="1:6" x14ac:dyDescent="0.25">
      <c r="B2517" s="274"/>
    </row>
    <row r="2518" spans="1:6" x14ac:dyDescent="0.25">
      <c r="B2518" s="274"/>
    </row>
    <row r="2519" spans="1:6" x14ac:dyDescent="0.25">
      <c r="B2519" s="260"/>
    </row>
    <row r="2520" spans="1:6" x14ac:dyDescent="0.25">
      <c r="B2520" s="260"/>
    </row>
    <row r="2521" spans="1:6" x14ac:dyDescent="0.25">
      <c r="B2521" s="260"/>
    </row>
    <row r="2522" spans="1:6" x14ac:dyDescent="0.25">
      <c r="B2522" s="262"/>
    </row>
    <row r="2523" spans="1:6" x14ac:dyDescent="0.25">
      <c r="B2523" s="314"/>
    </row>
    <row r="2524" spans="1:6" s="99" customFormat="1" ht="12.75" x14ac:dyDescent="0.2">
      <c r="A2524" s="256"/>
      <c r="B2524" s="260"/>
      <c r="E2524" s="258"/>
      <c r="F2524" s="118"/>
    </row>
    <row r="2525" spans="1:6" s="99" customFormat="1" ht="12.75" x14ac:dyDescent="0.2">
      <c r="A2525" s="256"/>
      <c r="B2525" s="260"/>
      <c r="E2525" s="258"/>
      <c r="F2525" s="118"/>
    </row>
    <row r="2526" spans="1:6" s="99" customFormat="1" ht="12.75" x14ac:dyDescent="0.2">
      <c r="A2526" s="256"/>
      <c r="B2526" s="295"/>
      <c r="E2526" s="258"/>
      <c r="F2526" s="118"/>
    </row>
    <row r="2527" spans="1:6" s="99" customFormat="1" ht="12.75" x14ac:dyDescent="0.2">
      <c r="A2527" s="256"/>
      <c r="B2527" s="414"/>
      <c r="E2527" s="258"/>
      <c r="F2527" s="118"/>
    </row>
    <row r="2528" spans="1:6" s="99" customFormat="1" ht="12.75" x14ac:dyDescent="0.2">
      <c r="A2528" s="256"/>
      <c r="B2528" s="260"/>
      <c r="E2528" s="258"/>
      <c r="F2528" s="118"/>
    </row>
    <row r="2529" spans="1:6" s="99" customFormat="1" ht="12.75" x14ac:dyDescent="0.2">
      <c r="A2529" s="256"/>
      <c r="B2529" s="260"/>
      <c r="E2529" s="258"/>
      <c r="F2529" s="118"/>
    </row>
    <row r="2530" spans="1:6" s="99" customFormat="1" ht="12.75" x14ac:dyDescent="0.2">
      <c r="A2530" s="256"/>
      <c r="B2530" s="260"/>
      <c r="E2530" s="258"/>
      <c r="F2530" s="118"/>
    </row>
    <row r="2531" spans="1:6" s="99" customFormat="1" ht="12.75" x14ac:dyDescent="0.2">
      <c r="A2531" s="256"/>
      <c r="B2531" s="260"/>
      <c r="E2531" s="258"/>
      <c r="F2531" s="118"/>
    </row>
    <row r="2532" spans="1:6" s="99" customFormat="1" ht="12.75" x14ac:dyDescent="0.2">
      <c r="A2532" s="256"/>
      <c r="B2532" s="260"/>
      <c r="E2532" s="258"/>
      <c r="F2532" s="118"/>
    </row>
    <row r="2533" spans="1:6" s="99" customFormat="1" ht="12.75" x14ac:dyDescent="0.2">
      <c r="A2533" s="256"/>
      <c r="B2533" s="260"/>
      <c r="E2533" s="258"/>
      <c r="F2533" s="118"/>
    </row>
    <row r="2534" spans="1:6" s="99" customFormat="1" ht="12.75" x14ac:dyDescent="0.2">
      <c r="A2534" s="256"/>
      <c r="B2534" s="260"/>
      <c r="E2534" s="258"/>
      <c r="F2534" s="118"/>
    </row>
    <row r="2535" spans="1:6" s="99" customFormat="1" ht="12.75" x14ac:dyDescent="0.2">
      <c r="A2535" s="256"/>
      <c r="B2535" s="260"/>
      <c r="E2535" s="258"/>
      <c r="F2535" s="118"/>
    </row>
    <row r="2541" spans="1:6" x14ac:dyDescent="0.25">
      <c r="B2541" s="260"/>
    </row>
    <row r="2542" spans="1:6" x14ac:dyDescent="0.25">
      <c r="B2542" s="299"/>
    </row>
    <row r="2543" spans="1:6" x14ac:dyDescent="0.25">
      <c r="B2543" s="275"/>
    </row>
    <row r="2544" spans="1:6" x14ac:dyDescent="0.25">
      <c r="B2544" s="299"/>
    </row>
    <row r="2545" spans="1:6" x14ac:dyDescent="0.25">
      <c r="B2545" s="299"/>
    </row>
    <row r="2546" spans="1:6" x14ac:dyDescent="0.25">
      <c r="B2546" s="299"/>
    </row>
    <row r="2547" spans="1:6" x14ac:dyDescent="0.25">
      <c r="B2547" s="286"/>
    </row>
    <row r="2548" spans="1:6" ht="15.75" thickBot="1" x14ac:dyDescent="0.3">
      <c r="A2548" s="264"/>
      <c r="B2548" s="398"/>
      <c r="C2548" s="266"/>
      <c r="D2548" s="266"/>
      <c r="E2548" s="267"/>
      <c r="F2548" s="399"/>
    </row>
    <row r="2550" spans="1:6" x14ac:dyDescent="0.25">
      <c r="B2550" s="276"/>
    </row>
    <row r="2552" spans="1:6" x14ac:dyDescent="0.25">
      <c r="B2552" s="276"/>
    </row>
    <row r="2555" spans="1:6" ht="15.75" thickBot="1" x14ac:dyDescent="0.3">
      <c r="A2555" s="264"/>
      <c r="B2555" s="406"/>
      <c r="C2555" s="266"/>
      <c r="D2555" s="266"/>
      <c r="E2555" s="267"/>
      <c r="F2555" s="399"/>
    </row>
    <row r="2556" spans="1:6" x14ac:dyDescent="0.25">
      <c r="A2556" s="400"/>
      <c r="B2556" s="401"/>
      <c r="C2556" s="402"/>
      <c r="D2556" s="402"/>
      <c r="E2556" s="403"/>
      <c r="F2556" s="404"/>
    </row>
    <row r="2564" spans="1:6" s="99" customFormat="1" ht="12.75" x14ac:dyDescent="0.2">
      <c r="A2564" s="256"/>
      <c r="B2564" s="262"/>
      <c r="E2564" s="258"/>
      <c r="F2564" s="118"/>
    </row>
    <row r="2570" spans="1:6" s="99" customFormat="1" ht="12.75" x14ac:dyDescent="0.2">
      <c r="A2570" s="256"/>
      <c r="B2570" s="262"/>
      <c r="E2570" s="258"/>
      <c r="F2570" s="118"/>
    </row>
    <row r="2595" spans="1:6" ht="15.75" thickBot="1" x14ac:dyDescent="0.3">
      <c r="A2595" s="264"/>
      <c r="B2595" s="406"/>
      <c r="C2595" s="266"/>
      <c r="D2595" s="266"/>
      <c r="E2595" s="267"/>
      <c r="F2595" s="399"/>
    </row>
    <row r="2596" spans="1:6" x14ac:dyDescent="0.25">
      <c r="A2596" s="400"/>
      <c r="B2596" s="401"/>
      <c r="C2596" s="402"/>
      <c r="D2596" s="402"/>
      <c r="E2596" s="403"/>
      <c r="F2596" s="404"/>
    </row>
    <row r="2604" spans="1:6" s="99" customFormat="1" ht="12.75" x14ac:dyDescent="0.2">
      <c r="A2604" s="256"/>
      <c r="B2604" s="262"/>
      <c r="E2604" s="258"/>
      <c r="F2604" s="118"/>
    </row>
    <row r="2606" spans="1:6" s="99" customFormat="1" ht="12.75" x14ac:dyDescent="0.2">
      <c r="A2606" s="256"/>
      <c r="B2606" s="262"/>
      <c r="E2606" s="258"/>
      <c r="F2606" s="118"/>
    </row>
    <row r="2608" spans="1:6" s="99" customFormat="1" ht="12.75" x14ac:dyDescent="0.2">
      <c r="A2608" s="256"/>
      <c r="B2608" s="153"/>
      <c r="E2608" s="258"/>
      <c r="F2608" s="118"/>
    </row>
    <row r="2609" spans="1:6" s="99" customFormat="1" ht="12.75" x14ac:dyDescent="0.2">
      <c r="A2609" s="256"/>
      <c r="B2609" s="153"/>
      <c r="E2609" s="258"/>
      <c r="F2609" s="118"/>
    </row>
    <row r="2610" spans="1:6" s="99" customFormat="1" ht="12.75" x14ac:dyDescent="0.2">
      <c r="A2610" s="256"/>
      <c r="B2610" s="153"/>
      <c r="E2610" s="258"/>
      <c r="F2610" s="118"/>
    </row>
    <row r="2611" spans="1:6" s="99" customFormat="1" ht="12.75" x14ac:dyDescent="0.2">
      <c r="A2611" s="256"/>
      <c r="B2611" s="153"/>
      <c r="E2611" s="258"/>
      <c r="F2611" s="118"/>
    </row>
    <row r="2612" spans="1:6" s="99" customFormat="1" ht="12.75" x14ac:dyDescent="0.25">
      <c r="A2612" s="256"/>
      <c r="B2612" s="303"/>
      <c r="E2612" s="258"/>
      <c r="F2612" s="118"/>
    </row>
    <row r="2614" spans="1:6" s="99" customFormat="1" ht="12.75" x14ac:dyDescent="0.2">
      <c r="A2614" s="256"/>
      <c r="B2614" s="260"/>
      <c r="E2614" s="258"/>
      <c r="F2614" s="118"/>
    </row>
    <row r="2616" spans="1:6" s="99" customFormat="1" ht="12.75" x14ac:dyDescent="0.2">
      <c r="A2616" s="256"/>
      <c r="B2616" s="260"/>
      <c r="E2616" s="258"/>
      <c r="F2616" s="118"/>
    </row>
    <row r="2617" spans="1:6" s="99" customFormat="1" ht="12.75" x14ac:dyDescent="0.2">
      <c r="A2617" s="256"/>
      <c r="B2617" s="314"/>
      <c r="E2617" s="258"/>
      <c r="F2617" s="118"/>
    </row>
    <row r="2618" spans="1:6" s="99" customFormat="1" ht="12.75" x14ac:dyDescent="0.2">
      <c r="A2618" s="256"/>
      <c r="B2618" s="314"/>
      <c r="E2618" s="258"/>
      <c r="F2618" s="118"/>
    </row>
    <row r="2619" spans="1:6" s="99" customFormat="1" ht="12.75" x14ac:dyDescent="0.2">
      <c r="A2619" s="256"/>
      <c r="B2619" s="314"/>
      <c r="E2619" s="258"/>
      <c r="F2619" s="118"/>
    </row>
    <row r="2620" spans="1:6" x14ac:dyDescent="0.25">
      <c r="B2620" s="314"/>
    </row>
    <row r="2621" spans="1:6" x14ac:dyDescent="0.25">
      <c r="B2621" s="314"/>
    </row>
    <row r="2622" spans="1:6" x14ac:dyDescent="0.25">
      <c r="B2622" s="314"/>
    </row>
    <row r="2623" spans="1:6" x14ac:dyDescent="0.25">
      <c r="B2623" s="314"/>
    </row>
    <row r="2628" spans="1:6" ht="15.75" thickBot="1" x14ac:dyDescent="0.3">
      <c r="A2628" s="264"/>
      <c r="B2628" s="398"/>
      <c r="C2628" s="266"/>
      <c r="D2628" s="266"/>
      <c r="E2628" s="267"/>
      <c r="F2628" s="399"/>
    </row>
    <row r="2629" spans="1:6" x14ac:dyDescent="0.25">
      <c r="A2629" s="400"/>
      <c r="B2629" s="401"/>
      <c r="C2629" s="402"/>
      <c r="D2629" s="402"/>
      <c r="E2629" s="403"/>
      <c r="F2629" s="404"/>
    </row>
    <row r="2630" spans="1:6" x14ac:dyDescent="0.25">
      <c r="B2630" s="275"/>
    </row>
    <row r="2631" spans="1:6" x14ac:dyDescent="0.25">
      <c r="B2631" s="260"/>
    </row>
    <row r="2632" spans="1:6" x14ac:dyDescent="0.25">
      <c r="B2632" s="260"/>
    </row>
    <row r="2633" spans="1:6" x14ac:dyDescent="0.25">
      <c r="B2633" s="260"/>
    </row>
    <row r="2637" spans="1:6" x14ac:dyDescent="0.25">
      <c r="B2637" s="260"/>
    </row>
    <row r="2638" spans="1:6" x14ac:dyDescent="0.25">
      <c r="B2638" s="260"/>
    </row>
    <row r="2639" spans="1:6" x14ac:dyDescent="0.25">
      <c r="B2639" s="260"/>
    </row>
    <row r="2640" spans="1:6" x14ac:dyDescent="0.25">
      <c r="B2640" s="260"/>
    </row>
    <row r="2641" spans="1:6" x14ac:dyDescent="0.25">
      <c r="B2641" s="260"/>
    </row>
    <row r="2642" spans="1:6" x14ac:dyDescent="0.25">
      <c r="B2642" s="275"/>
    </row>
    <row r="2643" spans="1:6" x14ac:dyDescent="0.25">
      <c r="B2643" s="276"/>
    </row>
    <row r="2644" spans="1:6" ht="15.75" thickBot="1" x14ac:dyDescent="0.3">
      <c r="A2644" s="264"/>
      <c r="B2644" s="398"/>
      <c r="C2644" s="266"/>
      <c r="D2644" s="266"/>
      <c r="E2644" s="267"/>
      <c r="F2644" s="399"/>
    </row>
    <row r="2645" spans="1:6" x14ac:dyDescent="0.25">
      <c r="B2645" s="276"/>
    </row>
    <row r="2646" spans="1:6" x14ac:dyDescent="0.25">
      <c r="B2646" s="276"/>
    </row>
    <row r="2647" spans="1:6" x14ac:dyDescent="0.25">
      <c r="B2647" s="275"/>
    </row>
    <row r="2648" spans="1:6" x14ac:dyDescent="0.25">
      <c r="B2648" s="276"/>
    </row>
    <row r="2649" spans="1:6" x14ac:dyDescent="0.25">
      <c r="B2649" s="275"/>
    </row>
    <row r="2650" spans="1:6" x14ac:dyDescent="0.25">
      <c r="B2650" s="275"/>
    </row>
    <row r="2651" spans="1:6" x14ac:dyDescent="0.25">
      <c r="B2651" s="275"/>
    </row>
    <row r="2652" spans="1:6" s="99" customFormat="1" ht="12.75" x14ac:dyDescent="0.25">
      <c r="A2652" s="256"/>
      <c r="B2652" s="275"/>
      <c r="E2652" s="258"/>
      <c r="F2652" s="118"/>
    </row>
    <row r="2653" spans="1:6" s="99" customFormat="1" ht="12.75" x14ac:dyDescent="0.25">
      <c r="A2653" s="256"/>
      <c r="B2653" s="275"/>
      <c r="E2653" s="258"/>
      <c r="F2653" s="118"/>
    </row>
    <row r="2654" spans="1:6" s="99" customFormat="1" ht="12.75" x14ac:dyDescent="0.25">
      <c r="A2654" s="256"/>
      <c r="B2654" s="275"/>
      <c r="E2654" s="258"/>
      <c r="F2654" s="118"/>
    </row>
    <row r="2655" spans="1:6" s="99" customFormat="1" ht="12.75" x14ac:dyDescent="0.25">
      <c r="A2655" s="256"/>
      <c r="B2655" s="275"/>
      <c r="E2655" s="258"/>
      <c r="F2655" s="118"/>
    </row>
    <row r="2656" spans="1:6" s="99" customFormat="1" ht="12.75" x14ac:dyDescent="0.25">
      <c r="A2656" s="256"/>
      <c r="B2656" s="275"/>
      <c r="E2656" s="258"/>
      <c r="F2656" s="118"/>
    </row>
    <row r="2657" spans="1:6" s="99" customFormat="1" ht="12.75" x14ac:dyDescent="0.25">
      <c r="A2657" s="256"/>
      <c r="B2657" s="275"/>
      <c r="E2657" s="258"/>
      <c r="F2657" s="118"/>
    </row>
    <row r="2658" spans="1:6" s="99" customFormat="1" ht="12.75" x14ac:dyDescent="0.25">
      <c r="A2658" s="256"/>
      <c r="B2658" s="275"/>
      <c r="E2658" s="258"/>
      <c r="F2658" s="118"/>
    </row>
    <row r="2659" spans="1:6" s="99" customFormat="1" ht="12.75" x14ac:dyDescent="0.25">
      <c r="A2659" s="256"/>
      <c r="B2659" s="275"/>
      <c r="E2659" s="258"/>
      <c r="F2659" s="118"/>
    </row>
    <row r="2660" spans="1:6" s="99" customFormat="1" ht="12.75" x14ac:dyDescent="0.25">
      <c r="A2660" s="256"/>
      <c r="B2660" s="275"/>
      <c r="E2660" s="258"/>
      <c r="F2660" s="118"/>
    </row>
    <row r="2661" spans="1:6" s="99" customFormat="1" ht="12.75" x14ac:dyDescent="0.25">
      <c r="A2661" s="256"/>
      <c r="B2661" s="275"/>
      <c r="E2661" s="258"/>
      <c r="F2661" s="118"/>
    </row>
    <row r="2662" spans="1:6" s="99" customFormat="1" ht="12.75" x14ac:dyDescent="0.25">
      <c r="A2662" s="256"/>
      <c r="B2662" s="275"/>
      <c r="E2662" s="258"/>
      <c r="F2662" s="118"/>
    </row>
    <row r="2663" spans="1:6" s="99" customFormat="1" ht="12.75" x14ac:dyDescent="0.25">
      <c r="A2663" s="256"/>
      <c r="B2663" s="275"/>
      <c r="E2663" s="258"/>
      <c r="F2663" s="118"/>
    </row>
    <row r="2664" spans="1:6" s="99" customFormat="1" ht="12.75" x14ac:dyDescent="0.25">
      <c r="A2664" s="256"/>
      <c r="B2664" s="275"/>
      <c r="E2664" s="258"/>
      <c r="F2664" s="118"/>
    </row>
    <row r="2665" spans="1:6" s="99" customFormat="1" ht="12.75" x14ac:dyDescent="0.25">
      <c r="A2665" s="256"/>
      <c r="B2665" s="275"/>
      <c r="E2665" s="258"/>
      <c r="F2665" s="118"/>
    </row>
    <row r="2666" spans="1:6" s="99" customFormat="1" ht="12.75" x14ac:dyDescent="0.25">
      <c r="A2666" s="256"/>
      <c r="B2666" s="275"/>
      <c r="E2666" s="258"/>
      <c r="F2666" s="118"/>
    </row>
    <row r="2667" spans="1:6" s="99" customFormat="1" ht="12.75" x14ac:dyDescent="0.25">
      <c r="A2667" s="256"/>
      <c r="B2667" s="275"/>
      <c r="E2667" s="258"/>
      <c r="F2667" s="118"/>
    </row>
    <row r="2668" spans="1:6" x14ac:dyDescent="0.25">
      <c r="B2668" s="275"/>
    </row>
    <row r="2669" spans="1:6" x14ac:dyDescent="0.25">
      <c r="B2669" s="275"/>
    </row>
    <row r="2670" spans="1:6" ht="15.75" thickBot="1" x14ac:dyDescent="0.3">
      <c r="A2670" s="264"/>
      <c r="B2670" s="406"/>
      <c r="C2670" s="266"/>
      <c r="D2670" s="266"/>
      <c r="E2670" s="267"/>
      <c r="F2670" s="399"/>
    </row>
    <row r="2671" spans="1:6" x14ac:dyDescent="0.25">
      <c r="A2671" s="400"/>
      <c r="B2671" s="401"/>
      <c r="C2671" s="402"/>
      <c r="D2671" s="402"/>
      <c r="E2671" s="403"/>
      <c r="F2671" s="404"/>
    </row>
    <row r="2677" spans="1:6" s="99" customFormat="1" ht="12.75" x14ac:dyDescent="0.2">
      <c r="A2677" s="256"/>
      <c r="B2677" s="295"/>
      <c r="E2677" s="258"/>
      <c r="F2677" s="118"/>
    </row>
    <row r="2679" spans="1:6" s="99" customFormat="1" ht="12.75" x14ac:dyDescent="0.2">
      <c r="A2679" s="256"/>
      <c r="B2679" s="260"/>
      <c r="E2679" s="258"/>
      <c r="F2679" s="118"/>
    </row>
    <row r="2681" spans="1:6" s="99" customFormat="1" ht="12.75" x14ac:dyDescent="0.2">
      <c r="A2681" s="256"/>
      <c r="B2681" s="260"/>
      <c r="E2681" s="258"/>
      <c r="F2681" s="118"/>
    </row>
    <row r="2682" spans="1:6" s="99" customFormat="1" ht="12.75" x14ac:dyDescent="0.2">
      <c r="A2682" s="256"/>
      <c r="B2682" s="260"/>
      <c r="E2682" s="258"/>
      <c r="F2682" s="118"/>
    </row>
    <row r="2683" spans="1:6" s="99" customFormat="1" ht="12.75" x14ac:dyDescent="0.2">
      <c r="A2683" s="256"/>
      <c r="B2683" s="260"/>
      <c r="E2683" s="258"/>
      <c r="F2683" s="118"/>
    </row>
    <row r="2684" spans="1:6" s="99" customFormat="1" ht="12.75" x14ac:dyDescent="0.2">
      <c r="A2684" s="256"/>
      <c r="B2684" s="260"/>
      <c r="E2684" s="258"/>
      <c r="F2684" s="118"/>
    </row>
    <row r="2685" spans="1:6" s="99" customFormat="1" ht="12.75" x14ac:dyDescent="0.2">
      <c r="A2685" s="256"/>
      <c r="B2685" s="260"/>
      <c r="E2685" s="258"/>
      <c r="F2685" s="118"/>
    </row>
    <row r="2686" spans="1:6" s="99" customFormat="1" ht="12.75" x14ac:dyDescent="0.2">
      <c r="A2686" s="256"/>
      <c r="B2686" s="415"/>
      <c r="E2686" s="258"/>
      <c r="F2686" s="118"/>
    </row>
    <row r="2687" spans="1:6" s="99" customFormat="1" ht="12.75" x14ac:dyDescent="0.2">
      <c r="A2687" s="256"/>
      <c r="B2687" s="318"/>
      <c r="E2687" s="258"/>
      <c r="F2687" s="118"/>
    </row>
    <row r="2688" spans="1:6" s="99" customFormat="1" ht="12.75" x14ac:dyDescent="0.2">
      <c r="A2688" s="256"/>
      <c r="B2688" s="317"/>
      <c r="E2688" s="258"/>
      <c r="F2688" s="118"/>
    </row>
    <row r="2689" spans="1:6" s="99" customFormat="1" ht="12.75" x14ac:dyDescent="0.2">
      <c r="A2689" s="256"/>
      <c r="B2689" s="318"/>
      <c r="E2689" s="258"/>
      <c r="F2689" s="118"/>
    </row>
    <row r="2693" spans="1:6" x14ac:dyDescent="0.25">
      <c r="B2693" s="295"/>
    </row>
    <row r="2694" spans="1:6" x14ac:dyDescent="0.25">
      <c r="B2694" s="260"/>
    </row>
    <row r="2695" spans="1:6" x14ac:dyDescent="0.25">
      <c r="B2695" s="262"/>
    </row>
    <row r="2696" spans="1:6" x14ac:dyDescent="0.25">
      <c r="B2696" s="319"/>
    </row>
    <row r="2697" spans="1:6" ht="15.75" thickBot="1" x14ac:dyDescent="0.3">
      <c r="A2697" s="264"/>
      <c r="B2697" s="398"/>
      <c r="C2697" s="266"/>
      <c r="D2697" s="266"/>
      <c r="E2697" s="267"/>
      <c r="F2697" s="399"/>
    </row>
    <row r="2698" spans="1:6" x14ac:dyDescent="0.25">
      <c r="A2698" s="400"/>
      <c r="B2698" s="401"/>
      <c r="C2698" s="402"/>
      <c r="D2698" s="402"/>
      <c r="E2698" s="403"/>
      <c r="F2698" s="404"/>
    </row>
    <row r="2700" spans="1:6" s="118" customFormat="1" ht="12.75" x14ac:dyDescent="0.2">
      <c r="A2700" s="256"/>
      <c r="B2700" s="123"/>
      <c r="C2700" s="99"/>
      <c r="D2700" s="99"/>
      <c r="E2700" s="258"/>
    </row>
    <row r="2702" spans="1:6" s="118" customFormat="1" ht="12.75" x14ac:dyDescent="0.2">
      <c r="A2702" s="256"/>
      <c r="B2702" s="262"/>
      <c r="C2702" s="99"/>
      <c r="D2702" s="99"/>
      <c r="E2702" s="258"/>
    </row>
    <row r="2703" spans="1:6" s="118" customFormat="1" ht="12.75" x14ac:dyDescent="0.2">
      <c r="A2703" s="256"/>
      <c r="B2703" s="260"/>
      <c r="C2703" s="99"/>
      <c r="D2703" s="99"/>
      <c r="E2703" s="258"/>
    </row>
    <row r="2704" spans="1:6" s="118" customFormat="1" ht="12.75" x14ac:dyDescent="0.2">
      <c r="A2704" s="256"/>
      <c r="B2704" s="123"/>
      <c r="C2704" s="99"/>
      <c r="D2704" s="99"/>
      <c r="E2704" s="258"/>
    </row>
    <row r="2705" spans="1:6" s="118" customFormat="1" ht="12.75" x14ac:dyDescent="0.2">
      <c r="A2705" s="256"/>
      <c r="B2705" s="260"/>
      <c r="C2705" s="99"/>
      <c r="D2705" s="99"/>
      <c r="E2705" s="258"/>
    </row>
    <row r="2706" spans="1:6" s="118" customFormat="1" ht="12.75" x14ac:dyDescent="0.2">
      <c r="A2706" s="310"/>
      <c r="B2706" s="260"/>
      <c r="C2706" s="311"/>
      <c r="D2706" s="311"/>
      <c r="E2706" s="312"/>
    </row>
    <row r="2707" spans="1:6" s="118" customFormat="1" ht="12.75" x14ac:dyDescent="0.2">
      <c r="A2707" s="310"/>
      <c r="B2707" s="260"/>
      <c r="C2707" s="311"/>
      <c r="D2707" s="311"/>
      <c r="E2707" s="312"/>
    </row>
    <row r="2708" spans="1:6" s="118" customFormat="1" ht="12.75" x14ac:dyDescent="0.2">
      <c r="A2708" s="310"/>
      <c r="B2708" s="260"/>
      <c r="C2708" s="311"/>
      <c r="D2708" s="311"/>
      <c r="E2708" s="312"/>
    </row>
    <row r="2709" spans="1:6" s="118" customFormat="1" ht="12.75" x14ac:dyDescent="0.2">
      <c r="A2709" s="310"/>
      <c r="B2709" s="260"/>
      <c r="C2709" s="311"/>
      <c r="D2709" s="311"/>
      <c r="E2709" s="312"/>
    </row>
    <row r="2710" spans="1:6" s="118" customFormat="1" ht="12.75" x14ac:dyDescent="0.2">
      <c r="A2710" s="310"/>
      <c r="B2710" s="260"/>
      <c r="C2710" s="311"/>
      <c r="D2710" s="311"/>
      <c r="E2710" s="312"/>
    </row>
    <row r="2711" spans="1:6" s="118" customFormat="1" ht="12.75" x14ac:dyDescent="0.2">
      <c r="A2711" s="256"/>
      <c r="B2711" s="260"/>
      <c r="C2711" s="99"/>
      <c r="D2711" s="99"/>
      <c r="E2711" s="258"/>
    </row>
    <row r="2712" spans="1:6" s="118" customFormat="1" ht="12.75" x14ac:dyDescent="0.2">
      <c r="A2712" s="310"/>
      <c r="B2712" s="260"/>
      <c r="C2712" s="311"/>
      <c r="D2712" s="311"/>
      <c r="E2712" s="312"/>
    </row>
    <row r="2713" spans="1:6" s="118" customFormat="1" ht="12.75" x14ac:dyDescent="0.2">
      <c r="A2713" s="310"/>
      <c r="B2713" s="260"/>
      <c r="C2713" s="311"/>
      <c r="D2713" s="311"/>
      <c r="E2713" s="312"/>
    </row>
    <row r="2714" spans="1:6" s="118" customFormat="1" ht="12.75" x14ac:dyDescent="0.2">
      <c r="A2714" s="310"/>
      <c r="B2714" s="260"/>
      <c r="C2714" s="311"/>
      <c r="D2714" s="311"/>
      <c r="E2714" s="312"/>
    </row>
    <row r="2715" spans="1:6" s="118" customFormat="1" ht="12.75" x14ac:dyDescent="0.2">
      <c r="A2715" s="256"/>
      <c r="B2715" s="260"/>
      <c r="C2715" s="99"/>
      <c r="D2715" s="99"/>
      <c r="E2715" s="258"/>
    </row>
    <row r="2716" spans="1:6" s="99" customFormat="1" ht="12.75" x14ac:dyDescent="0.2">
      <c r="A2716" s="256"/>
      <c r="B2716" s="262"/>
      <c r="E2716" s="258"/>
      <c r="F2716" s="118"/>
    </row>
    <row r="2718" spans="1:6" s="99" customFormat="1" ht="12.75" x14ac:dyDescent="0.2">
      <c r="A2718" s="256"/>
      <c r="B2718" s="123"/>
      <c r="E2718" s="258"/>
      <c r="F2718" s="118"/>
    </row>
    <row r="2720" spans="1:6" s="99" customFormat="1" ht="12.75" x14ac:dyDescent="0.2">
      <c r="A2720" s="256"/>
      <c r="B2720" s="262"/>
      <c r="E2720" s="258"/>
      <c r="F2720" s="118"/>
    </row>
    <row r="2722" spans="1:6" s="99" customFormat="1" ht="12.75" x14ac:dyDescent="0.2">
      <c r="A2722" s="256"/>
      <c r="B2722" s="123"/>
      <c r="E2722" s="258"/>
      <c r="F2722" s="118"/>
    </row>
    <row r="2724" spans="1:6" s="99" customFormat="1" ht="12.75" x14ac:dyDescent="0.2">
      <c r="A2724" s="256"/>
      <c r="B2724" s="123"/>
      <c r="E2724" s="258"/>
      <c r="F2724" s="118"/>
    </row>
    <row r="2739" spans="1:6" ht="15.75" thickBot="1" x14ac:dyDescent="0.3">
      <c r="A2739" s="264"/>
      <c r="B2739" s="398"/>
      <c r="C2739" s="266"/>
      <c r="D2739" s="266"/>
      <c r="E2739" s="267"/>
      <c r="F2739" s="399"/>
    </row>
    <row r="2740" spans="1:6" x14ac:dyDescent="0.25">
      <c r="A2740" s="400"/>
      <c r="B2740" s="401"/>
      <c r="C2740" s="402"/>
      <c r="D2740" s="402"/>
      <c r="E2740" s="403"/>
      <c r="F2740" s="404"/>
    </row>
    <row r="2741" spans="1:6" x14ac:dyDescent="0.25">
      <c r="B2741" s="276"/>
    </row>
    <row r="2742" spans="1:6" x14ac:dyDescent="0.25">
      <c r="B2742" s="260"/>
    </row>
    <row r="2744" spans="1:6" x14ac:dyDescent="0.25">
      <c r="B2744" s="262"/>
    </row>
    <row r="2746" spans="1:6" x14ac:dyDescent="0.25">
      <c r="B2746" s="123"/>
    </row>
    <row r="2748" spans="1:6" x14ac:dyDescent="0.25">
      <c r="B2748" s="123"/>
    </row>
    <row r="2750" spans="1:6" x14ac:dyDescent="0.25">
      <c r="B2750" s="260"/>
    </row>
    <row r="2752" spans="1:6" x14ac:dyDescent="0.25">
      <c r="B2752" s="262"/>
    </row>
    <row r="2754" spans="1:6" x14ac:dyDescent="0.25">
      <c r="B2754" s="260"/>
    </row>
    <row r="2755" spans="1:6" x14ac:dyDescent="0.25">
      <c r="B2755" s="274"/>
    </row>
    <row r="2756" spans="1:6" x14ac:dyDescent="0.25">
      <c r="B2756" s="274"/>
    </row>
    <row r="2757" spans="1:6" ht="15.75" thickBot="1" x14ac:dyDescent="0.3">
      <c r="A2757" s="264"/>
      <c r="B2757" s="398"/>
      <c r="C2757" s="266"/>
      <c r="D2757" s="266"/>
      <c r="E2757" s="267"/>
      <c r="F2757" s="399"/>
    </row>
    <row r="2758" spans="1:6" x14ac:dyDescent="0.25">
      <c r="B2758" s="262"/>
    </row>
    <row r="2759" spans="1:6" x14ac:dyDescent="0.25">
      <c r="B2759" s="276"/>
    </row>
    <row r="2760" spans="1:6" x14ac:dyDescent="0.25">
      <c r="B2760" s="260"/>
    </row>
    <row r="2761" spans="1:6" x14ac:dyDescent="0.25">
      <c r="B2761" s="276"/>
    </row>
    <row r="2762" spans="1:6" x14ac:dyDescent="0.25">
      <c r="B2762" s="274"/>
    </row>
    <row r="2763" spans="1:6" x14ac:dyDescent="0.25">
      <c r="B2763" s="276"/>
    </row>
    <row r="2764" spans="1:6" x14ac:dyDescent="0.25">
      <c r="B2764" s="123"/>
    </row>
    <row r="2765" spans="1:6" x14ac:dyDescent="0.25">
      <c r="B2765" s="260"/>
    </row>
    <row r="2766" spans="1:6" x14ac:dyDescent="0.25">
      <c r="B2766" s="262"/>
    </row>
    <row r="2767" spans="1:6" x14ac:dyDescent="0.25">
      <c r="B2767" s="274"/>
    </row>
    <row r="2768" spans="1:6" x14ac:dyDescent="0.25">
      <c r="B2768" s="274"/>
    </row>
    <row r="2769" spans="1:6" x14ac:dyDescent="0.25">
      <c r="B2769" s="274"/>
    </row>
    <row r="2770" spans="1:6" x14ac:dyDescent="0.25">
      <c r="B2770" s="274"/>
    </row>
    <row r="2771" spans="1:6" x14ac:dyDescent="0.25">
      <c r="B2771" s="274"/>
    </row>
    <row r="2772" spans="1:6" x14ac:dyDescent="0.25">
      <c r="B2772" s="274"/>
    </row>
    <row r="2773" spans="1:6" x14ac:dyDescent="0.25">
      <c r="B2773" s="274"/>
    </row>
    <row r="2774" spans="1:6" x14ac:dyDescent="0.25">
      <c r="B2774" s="274"/>
    </row>
    <row r="2775" spans="1:6" x14ac:dyDescent="0.25">
      <c r="B2775" s="274"/>
    </row>
    <row r="2776" spans="1:6" x14ac:dyDescent="0.25">
      <c r="B2776" s="274"/>
    </row>
    <row r="2777" spans="1:6" x14ac:dyDescent="0.25">
      <c r="B2777" s="274"/>
    </row>
    <row r="2778" spans="1:6" x14ac:dyDescent="0.25">
      <c r="B2778" s="274"/>
    </row>
    <row r="2779" spans="1:6" ht="15.75" thickBot="1" x14ac:dyDescent="0.3">
      <c r="A2779" s="264"/>
      <c r="B2779" s="406"/>
      <c r="C2779" s="266"/>
      <c r="D2779" s="266"/>
      <c r="E2779" s="267"/>
      <c r="F2779" s="399"/>
    </row>
    <row r="2780" spans="1:6" x14ac:dyDescent="0.25">
      <c r="A2780" s="400"/>
      <c r="B2780" s="401"/>
      <c r="C2780" s="402"/>
      <c r="D2780" s="402"/>
      <c r="E2780" s="403"/>
      <c r="F2780" s="404"/>
    </row>
    <row r="2781" spans="1:6" x14ac:dyDescent="0.25">
      <c r="B2781" s="276"/>
      <c r="F2781" s="407"/>
    </row>
    <row r="2782" spans="1:6" x14ac:dyDescent="0.25">
      <c r="B2782" s="356"/>
    </row>
    <row r="2783" spans="1:6" x14ac:dyDescent="0.25">
      <c r="B2783" s="331"/>
    </row>
    <row r="2784" spans="1:6" x14ac:dyDescent="0.25">
      <c r="B2784" s="295"/>
    </row>
    <row r="2785" spans="2:6" x14ac:dyDescent="0.25">
      <c r="B2785" s="319"/>
    </row>
    <row r="2786" spans="2:6" x14ac:dyDescent="0.25">
      <c r="B2786" s="260"/>
    </row>
    <row r="2787" spans="2:6" x14ac:dyDescent="0.25">
      <c r="B2787" s="276"/>
      <c r="F2787" s="407"/>
    </row>
    <row r="2788" spans="2:6" x14ac:dyDescent="0.25">
      <c r="B2788" s="262"/>
    </row>
    <row r="2789" spans="2:6" x14ac:dyDescent="0.25">
      <c r="B2789" s="260"/>
    </row>
    <row r="2790" spans="2:6" x14ac:dyDescent="0.25">
      <c r="B2790" s="295"/>
    </row>
    <row r="2791" spans="2:6" x14ac:dyDescent="0.25">
      <c r="B2791" s="260"/>
    </row>
    <row r="2792" spans="2:6" x14ac:dyDescent="0.25">
      <c r="B2792" s="262"/>
    </row>
    <row r="2793" spans="2:6" x14ac:dyDescent="0.25">
      <c r="B2793" s="319"/>
    </row>
    <row r="2794" spans="2:6" x14ac:dyDescent="0.25">
      <c r="B2794" s="274"/>
    </row>
    <row r="2795" spans="2:6" x14ac:dyDescent="0.25">
      <c r="B2795" s="274"/>
    </row>
    <row r="2796" spans="2:6" x14ac:dyDescent="0.25">
      <c r="B2796" s="324"/>
    </row>
    <row r="2798" spans="2:6" x14ac:dyDescent="0.25">
      <c r="B2798" s="295"/>
    </row>
    <row r="2799" spans="2:6" x14ac:dyDescent="0.25">
      <c r="B2799" s="260"/>
      <c r="E2799" s="272"/>
    </row>
    <row r="2800" spans="2:6" x14ac:dyDescent="0.25">
      <c r="B2800" s="260"/>
      <c r="E2800" s="272"/>
    </row>
    <row r="2801" spans="1:6" x14ac:dyDescent="0.25">
      <c r="B2801" s="262"/>
      <c r="F2801" s="333"/>
    </row>
    <row r="2802" spans="1:6" x14ac:dyDescent="0.25">
      <c r="F2802" s="333"/>
    </row>
    <row r="2803" spans="1:6" x14ac:dyDescent="0.25">
      <c r="B2803" s="262"/>
      <c r="F2803" s="333"/>
    </row>
    <row r="2804" spans="1:6" x14ac:dyDescent="0.25">
      <c r="F2804" s="333"/>
    </row>
    <row r="2805" spans="1:6" x14ac:dyDescent="0.25">
      <c r="B2805" s="262"/>
      <c r="F2805" s="333"/>
    </row>
    <row r="2806" spans="1:6" x14ac:dyDescent="0.25">
      <c r="F2806" s="333"/>
    </row>
    <row r="2807" spans="1:6" x14ac:dyDescent="0.25">
      <c r="B2807" s="262"/>
      <c r="F2807" s="333"/>
    </row>
    <row r="2808" spans="1:6" x14ac:dyDescent="0.25">
      <c r="B2808" s="260"/>
      <c r="E2808" s="272"/>
    </row>
    <row r="2809" spans="1:6" x14ac:dyDescent="0.25">
      <c r="B2809" s="260"/>
      <c r="E2809" s="272"/>
    </row>
    <row r="2810" spans="1:6" x14ac:dyDescent="0.25">
      <c r="B2810" s="260"/>
      <c r="E2810" s="272"/>
    </row>
    <row r="2811" spans="1:6" x14ac:dyDescent="0.25">
      <c r="B2811" s="260"/>
    </row>
    <row r="2812" spans="1:6" x14ac:dyDescent="0.25">
      <c r="B2812" s="276"/>
      <c r="F2812" s="407"/>
    </row>
    <row r="2813" spans="1:6" x14ac:dyDescent="0.25">
      <c r="B2813" s="276"/>
      <c r="F2813" s="407"/>
    </row>
    <row r="2814" spans="1:6" x14ac:dyDescent="0.25">
      <c r="B2814" s="276"/>
      <c r="F2814" s="407"/>
    </row>
    <row r="2815" spans="1:6" x14ac:dyDescent="0.25">
      <c r="B2815" s="276"/>
      <c r="F2815" s="407"/>
    </row>
    <row r="2816" spans="1:6" ht="15.75" thickBot="1" x14ac:dyDescent="0.3">
      <c r="A2816" s="264"/>
      <c r="B2816" s="398"/>
      <c r="C2816" s="266"/>
      <c r="D2816" s="266"/>
      <c r="E2816" s="267"/>
      <c r="F2816" s="399"/>
    </row>
    <row r="2817" spans="1:6" x14ac:dyDescent="0.25">
      <c r="A2817" s="400"/>
      <c r="B2817" s="401"/>
      <c r="C2817" s="402"/>
      <c r="D2817" s="402"/>
      <c r="E2817" s="403"/>
      <c r="F2817" s="404"/>
    </row>
    <row r="2819" spans="1:6" x14ac:dyDescent="0.25">
      <c r="B2819" s="295"/>
      <c r="F2819" s="333"/>
    </row>
    <row r="2820" spans="1:6" x14ac:dyDescent="0.25">
      <c r="B2820" s="260"/>
      <c r="F2820" s="333"/>
    </row>
    <row r="2821" spans="1:6" x14ac:dyDescent="0.25">
      <c r="B2821" s="295"/>
      <c r="F2821" s="333"/>
    </row>
    <row r="2822" spans="1:6" x14ac:dyDescent="0.25">
      <c r="B2822" s="260"/>
      <c r="F2822" s="333"/>
    </row>
    <row r="2823" spans="1:6" x14ac:dyDescent="0.25">
      <c r="B2823" s="260"/>
      <c r="F2823" s="333"/>
    </row>
    <row r="2824" spans="1:6" x14ac:dyDescent="0.25">
      <c r="B2824" s="274"/>
      <c r="F2824" s="333"/>
    </row>
    <row r="2825" spans="1:6" x14ac:dyDescent="0.25">
      <c r="B2825" s="262"/>
      <c r="F2825" s="333"/>
    </row>
    <row r="2826" spans="1:6" x14ac:dyDescent="0.25">
      <c r="B2826" s="260"/>
      <c r="F2826" s="333"/>
    </row>
    <row r="2827" spans="1:6" x14ac:dyDescent="0.25">
      <c r="B2827" s="260"/>
      <c r="F2827" s="333"/>
    </row>
    <row r="2828" spans="1:6" s="99" customFormat="1" ht="12.75" x14ac:dyDescent="0.25">
      <c r="A2828" s="256"/>
      <c r="B2828" s="275"/>
      <c r="E2828" s="258"/>
      <c r="F2828" s="118"/>
    </row>
    <row r="2829" spans="1:6" s="99" customFormat="1" ht="12.75" x14ac:dyDescent="0.2">
      <c r="A2829" s="256"/>
      <c r="B2829" s="262"/>
      <c r="E2829" s="258"/>
      <c r="F2829" s="118"/>
    </row>
    <row r="2831" spans="1:6" s="99" customFormat="1" ht="12.75" x14ac:dyDescent="0.2">
      <c r="A2831" s="256"/>
      <c r="B2831" s="123"/>
      <c r="E2831" s="258"/>
      <c r="F2831" s="118"/>
    </row>
    <row r="2833" spans="1:6" s="99" customFormat="1" ht="12.75" x14ac:dyDescent="0.2">
      <c r="A2833" s="256"/>
      <c r="B2833" s="262"/>
      <c r="E2833" s="258"/>
      <c r="F2833" s="118"/>
    </row>
    <row r="2835" spans="1:6" s="99" customFormat="1" ht="12.75" x14ac:dyDescent="0.2">
      <c r="A2835" s="256"/>
      <c r="B2835" s="123"/>
      <c r="E2835" s="258"/>
      <c r="F2835" s="118"/>
    </row>
    <row r="2837" spans="1:6" s="99" customFormat="1" ht="12.75" x14ac:dyDescent="0.2">
      <c r="A2837" s="256"/>
      <c r="B2837" s="260"/>
      <c r="E2837" s="258"/>
      <c r="F2837" s="118"/>
    </row>
    <row r="2838" spans="1:6" s="99" customFormat="1" ht="12.75" x14ac:dyDescent="0.2">
      <c r="A2838" s="256"/>
      <c r="B2838" s="260"/>
      <c r="E2838" s="258"/>
      <c r="F2838" s="118"/>
    </row>
    <row r="2839" spans="1:6" s="99" customFormat="1" ht="12.75" x14ac:dyDescent="0.2">
      <c r="A2839" s="256"/>
      <c r="B2839" s="295"/>
      <c r="E2839" s="258"/>
      <c r="F2839" s="118"/>
    </row>
    <row r="2840" spans="1:6" s="99" customFormat="1" ht="12.75" x14ac:dyDescent="0.2">
      <c r="A2840" s="256"/>
      <c r="B2840" s="260"/>
      <c r="E2840" s="258"/>
      <c r="F2840" s="118"/>
    </row>
    <row r="2841" spans="1:6" s="99" customFormat="1" ht="12.75" x14ac:dyDescent="0.2">
      <c r="A2841" s="256"/>
      <c r="B2841" s="260"/>
      <c r="E2841" s="258"/>
      <c r="F2841" s="118"/>
    </row>
    <row r="2842" spans="1:6" s="99" customFormat="1" ht="12.75" x14ac:dyDescent="0.2">
      <c r="A2842" s="256"/>
      <c r="B2842" s="260"/>
      <c r="E2842" s="258"/>
      <c r="F2842" s="118"/>
    </row>
    <row r="2843" spans="1:6" s="99" customFormat="1" ht="12.75" x14ac:dyDescent="0.2">
      <c r="A2843" s="256"/>
      <c r="B2843" s="262"/>
      <c r="E2843" s="258"/>
      <c r="F2843" s="118"/>
    </row>
    <row r="2844" spans="1:6" x14ac:dyDescent="0.25">
      <c r="B2844" s="260"/>
    </row>
    <row r="2845" spans="1:6" x14ac:dyDescent="0.25">
      <c r="B2845" s="260"/>
    </row>
    <row r="2850" spans="1:6" x14ac:dyDescent="0.25">
      <c r="B2850" s="123"/>
      <c r="E2850" s="412"/>
      <c r="F2850" s="413"/>
    </row>
    <row r="2851" spans="1:6" ht="15.75" thickBot="1" x14ac:dyDescent="0.3">
      <c r="A2851" s="264"/>
      <c r="B2851" s="398"/>
      <c r="C2851" s="266"/>
      <c r="D2851" s="266"/>
      <c r="E2851" s="267"/>
      <c r="F2851" s="399"/>
    </row>
    <row r="2852" spans="1:6" x14ac:dyDescent="0.25">
      <c r="A2852" s="400"/>
      <c r="B2852" s="401"/>
      <c r="C2852" s="402"/>
      <c r="D2852" s="402"/>
      <c r="E2852" s="403"/>
      <c r="F2852" s="404"/>
    </row>
    <row r="2853" spans="1:6" x14ac:dyDescent="0.25">
      <c r="B2853" s="275"/>
    </row>
    <row r="2854" spans="1:6" x14ac:dyDescent="0.25">
      <c r="B2854" s="260"/>
    </row>
    <row r="2856" spans="1:6" x14ac:dyDescent="0.25">
      <c r="B2856" s="262"/>
    </row>
    <row r="2858" spans="1:6" x14ac:dyDescent="0.25">
      <c r="B2858" s="295"/>
    </row>
    <row r="2859" spans="1:6" x14ac:dyDescent="0.25">
      <c r="B2859" s="274"/>
    </row>
    <row r="2860" spans="1:6" s="99" customFormat="1" ht="12.75" x14ac:dyDescent="0.2">
      <c r="A2860" s="256"/>
      <c r="B2860" s="274"/>
      <c r="E2860" s="258"/>
      <c r="F2860" s="118"/>
    </row>
    <row r="2864" spans="1:6" s="99" customFormat="1" ht="12.75" x14ac:dyDescent="0.2">
      <c r="A2864" s="256"/>
      <c r="B2864" s="262"/>
      <c r="E2864" s="258"/>
      <c r="F2864" s="118"/>
    </row>
    <row r="2865" spans="1:6" s="99" customFormat="1" ht="12.75" x14ac:dyDescent="0.2">
      <c r="A2865" s="256"/>
      <c r="B2865" s="274"/>
      <c r="E2865" s="258"/>
      <c r="F2865" s="118"/>
    </row>
    <row r="2866" spans="1:6" s="99" customFormat="1" ht="12.75" x14ac:dyDescent="0.2">
      <c r="A2866" s="256"/>
      <c r="B2866" s="274"/>
      <c r="E2866" s="258"/>
      <c r="F2866" s="118"/>
    </row>
    <row r="2868" spans="1:6" s="99" customFormat="1" ht="12.75" x14ac:dyDescent="0.2">
      <c r="A2868" s="256"/>
      <c r="B2868" s="260"/>
      <c r="E2868" s="258"/>
      <c r="F2868" s="118"/>
    </row>
    <row r="2869" spans="1:6" s="99" customFormat="1" ht="12.75" x14ac:dyDescent="0.2">
      <c r="A2869" s="256"/>
      <c r="B2869" s="260"/>
      <c r="E2869" s="258"/>
      <c r="F2869" s="118"/>
    </row>
    <row r="2870" spans="1:6" s="99" customFormat="1" ht="12.75" x14ac:dyDescent="0.2">
      <c r="A2870" s="256"/>
      <c r="B2870" s="295"/>
      <c r="E2870" s="258"/>
      <c r="F2870" s="118"/>
    </row>
    <row r="2872" spans="1:6" s="99" customFormat="1" ht="12.75" x14ac:dyDescent="0.2">
      <c r="A2872" s="256"/>
      <c r="B2872" s="262"/>
      <c r="E2872" s="258"/>
      <c r="F2872" s="118"/>
    </row>
    <row r="2873" spans="1:6" s="99" customFormat="1" ht="12.75" x14ac:dyDescent="0.2">
      <c r="A2873" s="256"/>
      <c r="B2873" s="274"/>
      <c r="E2873" s="258"/>
      <c r="F2873" s="118"/>
    </row>
    <row r="2874" spans="1:6" s="99" customFormat="1" ht="12.75" x14ac:dyDescent="0.2">
      <c r="A2874" s="256"/>
      <c r="B2874" s="260"/>
      <c r="E2874" s="258"/>
      <c r="F2874" s="118"/>
    </row>
    <row r="2875" spans="1:6" s="99" customFormat="1" ht="12.75" x14ac:dyDescent="0.2">
      <c r="A2875" s="256"/>
      <c r="B2875" s="274"/>
      <c r="E2875" s="258"/>
      <c r="F2875" s="118"/>
    </row>
    <row r="2876" spans="1:6" x14ac:dyDescent="0.25">
      <c r="B2876" s="274"/>
    </row>
    <row r="2877" spans="1:6" x14ac:dyDescent="0.25">
      <c r="B2877" s="274"/>
    </row>
    <row r="2878" spans="1:6" x14ac:dyDescent="0.25">
      <c r="B2878" s="262"/>
    </row>
    <row r="2879" spans="1:6" x14ac:dyDescent="0.25">
      <c r="B2879" s="260"/>
    </row>
    <row r="2880" spans="1:6" x14ac:dyDescent="0.25">
      <c r="B2880" s="260"/>
    </row>
    <row r="2881" spans="1:6" x14ac:dyDescent="0.25">
      <c r="B2881" s="274"/>
    </row>
    <row r="2882" spans="1:6" x14ac:dyDescent="0.25">
      <c r="B2882" s="274"/>
    </row>
    <row r="2883" spans="1:6" x14ac:dyDescent="0.25">
      <c r="B2883" s="260"/>
    </row>
    <row r="2884" spans="1:6" x14ac:dyDescent="0.25">
      <c r="B2884" s="286"/>
    </row>
    <row r="2885" spans="1:6" x14ac:dyDescent="0.25">
      <c r="B2885" s="286"/>
    </row>
    <row r="2886" spans="1:6" x14ac:dyDescent="0.25">
      <c r="B2886" s="286"/>
    </row>
    <row r="2889" spans="1:6" ht="15.75" thickBot="1" x14ac:dyDescent="0.3">
      <c r="A2889" s="264"/>
      <c r="B2889" s="398"/>
      <c r="C2889" s="266"/>
      <c r="D2889" s="266"/>
      <c r="E2889" s="267"/>
      <c r="F2889" s="399"/>
    </row>
    <row r="2890" spans="1:6" x14ac:dyDescent="0.25">
      <c r="A2890" s="400"/>
      <c r="B2890" s="401"/>
      <c r="C2890" s="402"/>
      <c r="D2890" s="402"/>
      <c r="E2890" s="403"/>
      <c r="F2890" s="404"/>
    </row>
    <row r="2892" spans="1:6" x14ac:dyDescent="0.25">
      <c r="B2892" s="123"/>
    </row>
    <row r="2893" spans="1:6" x14ac:dyDescent="0.25">
      <c r="B2893" s="260"/>
    </row>
    <row r="2894" spans="1:6" x14ac:dyDescent="0.25">
      <c r="B2894" s="262"/>
    </row>
    <row r="2895" spans="1:6" x14ac:dyDescent="0.25">
      <c r="B2895" s="274"/>
    </row>
    <row r="2896" spans="1:6" x14ac:dyDescent="0.25">
      <c r="B2896" s="262"/>
    </row>
    <row r="2899" spans="1:6" ht="15.75" thickBot="1" x14ac:dyDescent="0.3">
      <c r="A2899" s="264"/>
      <c r="B2899" s="398"/>
      <c r="C2899" s="266"/>
      <c r="D2899" s="266"/>
      <c r="E2899" s="267"/>
      <c r="F2899" s="399"/>
    </row>
    <row r="2901" spans="1:6" x14ac:dyDescent="0.25">
      <c r="B2901" s="276"/>
    </row>
    <row r="2903" spans="1:6" x14ac:dyDescent="0.25">
      <c r="B2903" s="276"/>
    </row>
    <row r="2905" spans="1:6" x14ac:dyDescent="0.25">
      <c r="B2905" s="276"/>
    </row>
    <row r="2907" spans="1:6" x14ac:dyDescent="0.25">
      <c r="B2907" s="276"/>
    </row>
    <row r="2912" spans="1:6" x14ac:dyDescent="0.25">
      <c r="B2912" s="274"/>
    </row>
    <row r="2913" spans="1:6" x14ac:dyDescent="0.25">
      <c r="B2913" s="274"/>
    </row>
    <row r="2914" spans="1:6" x14ac:dyDescent="0.25">
      <c r="B2914" s="295"/>
    </row>
    <row r="2915" spans="1:6" x14ac:dyDescent="0.25">
      <c r="B2915" s="274"/>
    </row>
    <row r="2916" spans="1:6" x14ac:dyDescent="0.25">
      <c r="B2916" s="274"/>
    </row>
    <row r="2923" spans="1:6" ht="15.75" thickBot="1" x14ac:dyDescent="0.3">
      <c r="A2923" s="264"/>
      <c r="B2923" s="406"/>
      <c r="C2923" s="266"/>
      <c r="D2923" s="266"/>
      <c r="E2923" s="267"/>
      <c r="F2923" s="399"/>
    </row>
    <row r="2924" spans="1:6" x14ac:dyDescent="0.25">
      <c r="A2924" s="400"/>
      <c r="B2924" s="401"/>
      <c r="C2924" s="402"/>
      <c r="D2924" s="402"/>
      <c r="E2924" s="403"/>
      <c r="F2924" s="404"/>
    </row>
    <row r="2925" spans="1:6" x14ac:dyDescent="0.25">
      <c r="B2925" s="276"/>
    </row>
    <row r="2926" spans="1:6" x14ac:dyDescent="0.25">
      <c r="B2926" s="276"/>
    </row>
    <row r="2927" spans="1:6" x14ac:dyDescent="0.25">
      <c r="B2927" s="275"/>
    </row>
    <row r="2928" spans="1:6" x14ac:dyDescent="0.25">
      <c r="B2928" s="276"/>
    </row>
    <row r="2929" spans="1:6" x14ac:dyDescent="0.25">
      <c r="B2929" s="275"/>
    </row>
    <row r="2930" spans="1:6" x14ac:dyDescent="0.25">
      <c r="B2930" s="276"/>
    </row>
    <row r="2931" spans="1:6" x14ac:dyDescent="0.25">
      <c r="B2931" s="275"/>
    </row>
    <row r="2932" spans="1:6" x14ac:dyDescent="0.25">
      <c r="B2932" s="276"/>
    </row>
    <row r="2933" spans="1:6" x14ac:dyDescent="0.25">
      <c r="B2933" s="276"/>
    </row>
    <row r="2934" spans="1:6" x14ac:dyDescent="0.25">
      <c r="B2934" s="276"/>
    </row>
    <row r="2935" spans="1:6" x14ac:dyDescent="0.25">
      <c r="B2935" s="276"/>
    </row>
    <row r="2936" spans="1:6" x14ac:dyDescent="0.25">
      <c r="B2936" s="276"/>
    </row>
    <row r="2937" spans="1:6" x14ac:dyDescent="0.25">
      <c r="B2937" s="276"/>
    </row>
    <row r="2938" spans="1:6" x14ac:dyDescent="0.25">
      <c r="B2938" s="276"/>
    </row>
    <row r="2939" spans="1:6" x14ac:dyDescent="0.25">
      <c r="B2939" s="276"/>
    </row>
    <row r="2940" spans="1:6" s="99" customFormat="1" ht="12.75" x14ac:dyDescent="0.25">
      <c r="A2940" s="256"/>
      <c r="B2940" s="276"/>
      <c r="E2940" s="258"/>
      <c r="F2940" s="118"/>
    </row>
    <row r="2941" spans="1:6" s="99" customFormat="1" ht="12.75" x14ac:dyDescent="0.25">
      <c r="A2941" s="256"/>
      <c r="B2941" s="276"/>
      <c r="E2941" s="258"/>
      <c r="F2941" s="118"/>
    </row>
    <row r="2942" spans="1:6" s="99" customFormat="1" ht="12.75" x14ac:dyDescent="0.25">
      <c r="A2942" s="256"/>
      <c r="B2942" s="276"/>
      <c r="E2942" s="258"/>
      <c r="F2942" s="118"/>
    </row>
    <row r="2943" spans="1:6" s="99" customFormat="1" ht="12.75" x14ac:dyDescent="0.25">
      <c r="A2943" s="256"/>
      <c r="B2943" s="276"/>
      <c r="E2943" s="258"/>
      <c r="F2943" s="118"/>
    </row>
    <row r="2944" spans="1:6" s="99" customFormat="1" ht="12.75" x14ac:dyDescent="0.25">
      <c r="A2944" s="256"/>
      <c r="B2944" s="276"/>
      <c r="E2944" s="258"/>
      <c r="F2944" s="118"/>
    </row>
    <row r="2945" spans="1:6" s="99" customFormat="1" ht="12.75" x14ac:dyDescent="0.25">
      <c r="A2945" s="256"/>
      <c r="B2945" s="276"/>
      <c r="E2945" s="258"/>
      <c r="F2945" s="118"/>
    </row>
    <row r="2946" spans="1:6" s="99" customFormat="1" ht="12.75" x14ac:dyDescent="0.25">
      <c r="A2946" s="256"/>
      <c r="B2946" s="276"/>
      <c r="E2946" s="258"/>
      <c r="F2946" s="118"/>
    </row>
    <row r="2947" spans="1:6" s="99" customFormat="1" ht="12.75" x14ac:dyDescent="0.25">
      <c r="A2947" s="256"/>
      <c r="B2947" s="276"/>
      <c r="E2947" s="258"/>
      <c r="F2947" s="118"/>
    </row>
    <row r="2948" spans="1:6" s="99" customFormat="1" ht="12.75" x14ac:dyDescent="0.25">
      <c r="A2948" s="256"/>
      <c r="B2948" s="276"/>
      <c r="E2948" s="258"/>
      <c r="F2948" s="118"/>
    </row>
    <row r="2949" spans="1:6" s="99" customFormat="1" ht="12.75" x14ac:dyDescent="0.25">
      <c r="A2949" s="256"/>
      <c r="B2949" s="276"/>
      <c r="E2949" s="258"/>
      <c r="F2949" s="118"/>
    </row>
    <row r="2950" spans="1:6" s="99" customFormat="1" ht="12.75" x14ac:dyDescent="0.25">
      <c r="A2950" s="256"/>
      <c r="B2950" s="276"/>
      <c r="E2950" s="258"/>
      <c r="F2950" s="118"/>
    </row>
    <row r="2951" spans="1:6" s="99" customFormat="1" ht="12.75" x14ac:dyDescent="0.25">
      <c r="A2951" s="256"/>
      <c r="B2951" s="276"/>
      <c r="E2951" s="258"/>
      <c r="F2951" s="118"/>
    </row>
    <row r="2952" spans="1:6" s="99" customFormat="1" ht="12.75" x14ac:dyDescent="0.25">
      <c r="A2952" s="256"/>
      <c r="B2952" s="276"/>
      <c r="E2952" s="258"/>
      <c r="F2952" s="118"/>
    </row>
    <row r="2953" spans="1:6" s="99" customFormat="1" ht="12.75" x14ac:dyDescent="0.25">
      <c r="A2953" s="256"/>
      <c r="B2953" s="276"/>
      <c r="E2953" s="258"/>
      <c r="F2953" s="118"/>
    </row>
    <row r="2954" spans="1:6" s="99" customFormat="1" ht="12.75" x14ac:dyDescent="0.25">
      <c r="A2954" s="256"/>
      <c r="B2954" s="276"/>
      <c r="E2954" s="258"/>
      <c r="F2954" s="118"/>
    </row>
    <row r="2955" spans="1:6" s="99" customFormat="1" ht="12.75" x14ac:dyDescent="0.25">
      <c r="A2955" s="256"/>
      <c r="B2955" s="276"/>
      <c r="E2955" s="258"/>
      <c r="F2955" s="118"/>
    </row>
    <row r="2956" spans="1:6" x14ac:dyDescent="0.25">
      <c r="B2956" s="276"/>
    </row>
    <row r="2957" spans="1:6" x14ac:dyDescent="0.25">
      <c r="B2957" s="276"/>
    </row>
    <row r="2958" spans="1:6" x14ac:dyDescent="0.25">
      <c r="B2958" s="276"/>
    </row>
    <row r="2959" spans="1:6" x14ac:dyDescent="0.25">
      <c r="B2959" s="276"/>
    </row>
    <row r="2960" spans="1:6" x14ac:dyDescent="0.25">
      <c r="B2960" s="276"/>
    </row>
    <row r="2961" spans="1:6" x14ac:dyDescent="0.25">
      <c r="B2961" s="276"/>
    </row>
    <row r="2962" spans="1:6" x14ac:dyDescent="0.25">
      <c r="B2962" s="276"/>
    </row>
    <row r="2963" spans="1:6" x14ac:dyDescent="0.25">
      <c r="B2963" s="276"/>
    </row>
    <row r="2964" spans="1:6" x14ac:dyDescent="0.25">
      <c r="B2964" s="276"/>
    </row>
    <row r="2965" spans="1:6" x14ac:dyDescent="0.25">
      <c r="B2965" s="276"/>
    </row>
    <row r="2966" spans="1:6" x14ac:dyDescent="0.25">
      <c r="B2966" s="276"/>
    </row>
    <row r="2967" spans="1:6" x14ac:dyDescent="0.25">
      <c r="B2967" s="276"/>
    </row>
    <row r="2968" spans="1:6" x14ac:dyDescent="0.25">
      <c r="B2968" s="276"/>
    </row>
    <row r="2969" spans="1:6" ht="15.75" thickBot="1" x14ac:dyDescent="0.3">
      <c r="A2969" s="264"/>
      <c r="B2969" s="398"/>
      <c r="C2969" s="266"/>
      <c r="D2969" s="266"/>
      <c r="E2969" s="267"/>
      <c r="F2969" s="399"/>
    </row>
    <row r="2970" spans="1:6" x14ac:dyDescent="0.25">
      <c r="A2970" s="400"/>
      <c r="B2970" s="401"/>
      <c r="C2970" s="402"/>
      <c r="D2970" s="402"/>
      <c r="E2970" s="403"/>
      <c r="F2970" s="404"/>
    </row>
    <row r="2971" spans="1:6" x14ac:dyDescent="0.25">
      <c r="B2971" s="275"/>
    </row>
    <row r="2972" spans="1:6" s="99" customFormat="1" ht="12.75" x14ac:dyDescent="0.25">
      <c r="A2972" s="256"/>
      <c r="B2972" s="331"/>
      <c r="E2972" s="258"/>
      <c r="F2972" s="118"/>
    </row>
    <row r="2973" spans="1:6" s="99" customFormat="1" ht="12.75" x14ac:dyDescent="0.25">
      <c r="A2973" s="256"/>
      <c r="B2973" s="331"/>
      <c r="E2973" s="258"/>
      <c r="F2973" s="118"/>
    </row>
    <row r="2974" spans="1:6" s="99" customFormat="1" ht="12.75" x14ac:dyDescent="0.2">
      <c r="A2974" s="256"/>
      <c r="B2974" s="260"/>
      <c r="E2974" s="258"/>
      <c r="F2974" s="118"/>
    </row>
    <row r="2975" spans="1:6" s="99" customFormat="1" ht="12.75" x14ac:dyDescent="0.2">
      <c r="A2975" s="256"/>
      <c r="B2975" s="260"/>
      <c r="E2975" s="258"/>
      <c r="F2975" s="118"/>
    </row>
    <row r="2976" spans="1:6" s="99" customFormat="1" ht="12.75" x14ac:dyDescent="0.2">
      <c r="A2976" s="256"/>
      <c r="B2976" s="260"/>
      <c r="E2976" s="258"/>
      <c r="F2976" s="118"/>
    </row>
    <row r="2977" spans="1:6" s="99" customFormat="1" ht="12.75" x14ac:dyDescent="0.2">
      <c r="A2977" s="256"/>
      <c r="B2977" s="260"/>
      <c r="E2977" s="258"/>
      <c r="F2977" s="118"/>
    </row>
    <row r="2978" spans="1:6" s="99" customFormat="1" ht="12.75" x14ac:dyDescent="0.2">
      <c r="A2978" s="256"/>
      <c r="B2978" s="260"/>
      <c r="E2978" s="258"/>
      <c r="F2978" s="118"/>
    </row>
    <row r="2979" spans="1:6" s="99" customFormat="1" ht="12.75" x14ac:dyDescent="0.2">
      <c r="A2979" s="256"/>
      <c r="B2979" s="260"/>
      <c r="E2979" s="258"/>
      <c r="F2979" s="118"/>
    </row>
    <row r="2980" spans="1:6" s="99" customFormat="1" ht="12.75" x14ac:dyDescent="0.2">
      <c r="A2980" s="256"/>
      <c r="B2980" s="262"/>
      <c r="E2980" s="258"/>
      <c r="F2980" s="118"/>
    </row>
    <row r="2981" spans="1:6" s="99" customFormat="1" ht="12.75" x14ac:dyDescent="0.2">
      <c r="A2981" s="256"/>
      <c r="B2981" s="260"/>
      <c r="E2981" s="258"/>
      <c r="F2981" s="118"/>
    </row>
    <row r="2982" spans="1:6" s="99" customFormat="1" ht="12.75" x14ac:dyDescent="0.2">
      <c r="A2982" s="256"/>
      <c r="B2982" s="260"/>
      <c r="E2982" s="258"/>
      <c r="F2982" s="118"/>
    </row>
    <row r="2983" spans="1:6" s="99" customFormat="1" ht="12.75" x14ac:dyDescent="0.2">
      <c r="A2983" s="256"/>
      <c r="B2983" s="260"/>
      <c r="E2983" s="258"/>
      <c r="F2983" s="118"/>
    </row>
    <row r="2984" spans="1:6" s="99" customFormat="1" ht="12.75" x14ac:dyDescent="0.2">
      <c r="A2984" s="256"/>
      <c r="B2984" s="260"/>
      <c r="E2984" s="258"/>
      <c r="F2984" s="118"/>
    </row>
    <row r="2985" spans="1:6" s="99" customFormat="1" ht="12.75" x14ac:dyDescent="0.2">
      <c r="A2985" s="256"/>
      <c r="B2985" s="280"/>
      <c r="E2985" s="258"/>
      <c r="F2985" s="118"/>
    </row>
    <row r="2986" spans="1:6" s="99" customFormat="1" ht="12.75" x14ac:dyDescent="0.2">
      <c r="A2986" s="256"/>
      <c r="B2986" s="260"/>
      <c r="E2986" s="258"/>
      <c r="F2986" s="118"/>
    </row>
    <row r="2987" spans="1:6" s="99" customFormat="1" ht="12.75" x14ac:dyDescent="0.25">
      <c r="A2987" s="256"/>
      <c r="B2987" s="275"/>
      <c r="E2987" s="258"/>
      <c r="F2987" s="118"/>
    </row>
    <row r="2988" spans="1:6" s="99" customFormat="1" ht="12.75" x14ac:dyDescent="0.2">
      <c r="A2988" s="256"/>
      <c r="B2988" s="260"/>
      <c r="E2988" s="258"/>
      <c r="F2988" s="118"/>
    </row>
    <row r="2989" spans="1:6" s="99" customFormat="1" ht="12.75" x14ac:dyDescent="0.2">
      <c r="A2989" s="256"/>
      <c r="B2989" s="260"/>
      <c r="E2989" s="258"/>
      <c r="F2989" s="118"/>
    </row>
    <row r="2990" spans="1:6" s="99" customFormat="1" ht="12.75" x14ac:dyDescent="0.2">
      <c r="A2990" s="256"/>
      <c r="B2990" s="260"/>
      <c r="E2990" s="258"/>
      <c r="F2990" s="118"/>
    </row>
    <row r="2991" spans="1:6" s="99" customFormat="1" ht="12.75" x14ac:dyDescent="0.2">
      <c r="A2991" s="256"/>
      <c r="B2991" s="260"/>
      <c r="E2991" s="258"/>
      <c r="F2991" s="118"/>
    </row>
    <row r="2992" spans="1:6" s="99" customFormat="1" ht="12.75" x14ac:dyDescent="0.2">
      <c r="A2992" s="256"/>
      <c r="B2992" s="260"/>
      <c r="E2992" s="258"/>
      <c r="F2992" s="118"/>
    </row>
    <row r="2993" spans="1:6" s="99" customFormat="1" ht="12.75" x14ac:dyDescent="0.25">
      <c r="A2993" s="256"/>
      <c r="B2993" s="275"/>
      <c r="E2993" s="258"/>
      <c r="F2993" s="118"/>
    </row>
    <row r="2994" spans="1:6" s="99" customFormat="1" ht="12.75" x14ac:dyDescent="0.25">
      <c r="A2994" s="256"/>
      <c r="B2994" s="286"/>
      <c r="E2994" s="258"/>
      <c r="F2994" s="118"/>
    </row>
    <row r="2995" spans="1:6" s="99" customFormat="1" ht="12.75" x14ac:dyDescent="0.25">
      <c r="A2995" s="256"/>
      <c r="B2995" s="275"/>
      <c r="E2995" s="258"/>
      <c r="F2995" s="118"/>
    </row>
    <row r="2996" spans="1:6" s="99" customFormat="1" ht="12.75" x14ac:dyDescent="0.2">
      <c r="A2996" s="256"/>
      <c r="B2996" s="260"/>
      <c r="E2996" s="258"/>
      <c r="F2996" s="118"/>
    </row>
    <row r="2997" spans="1:6" s="99" customFormat="1" ht="12.75" x14ac:dyDescent="0.2">
      <c r="A2997" s="256"/>
      <c r="B2997" s="260"/>
      <c r="E2997" s="258"/>
      <c r="F2997" s="118"/>
    </row>
    <row r="2998" spans="1:6" s="99" customFormat="1" ht="12.75" x14ac:dyDescent="0.2">
      <c r="A2998" s="256"/>
      <c r="B2998" s="260"/>
      <c r="E2998" s="258"/>
      <c r="F2998" s="118"/>
    </row>
    <row r="2999" spans="1:6" s="99" customFormat="1" ht="12.75" x14ac:dyDescent="0.2">
      <c r="A2999" s="256"/>
      <c r="B2999" s="260"/>
      <c r="E2999" s="258"/>
      <c r="F2999" s="118"/>
    </row>
    <row r="3000" spans="1:6" s="99" customFormat="1" ht="12.75" x14ac:dyDescent="0.2">
      <c r="A3000" s="256"/>
      <c r="B3000" s="260"/>
      <c r="E3000" s="258"/>
      <c r="F3000" s="118"/>
    </row>
    <row r="3001" spans="1:6" s="99" customFormat="1" ht="12.75" x14ac:dyDescent="0.2">
      <c r="A3001" s="256"/>
      <c r="B3001" s="260"/>
      <c r="E3001" s="258"/>
      <c r="F3001" s="118"/>
    </row>
    <row r="3002" spans="1:6" s="99" customFormat="1" ht="12.75" x14ac:dyDescent="0.2">
      <c r="A3002" s="256"/>
      <c r="B3002" s="260"/>
      <c r="E3002" s="258"/>
      <c r="F3002" s="118"/>
    </row>
    <row r="3003" spans="1:6" s="99" customFormat="1" ht="12.75" x14ac:dyDescent="0.2">
      <c r="A3003" s="256"/>
      <c r="B3003" s="260"/>
      <c r="E3003" s="258"/>
      <c r="F3003" s="118"/>
    </row>
    <row r="3004" spans="1:6" x14ac:dyDescent="0.25">
      <c r="B3004" s="274"/>
    </row>
    <row r="3005" spans="1:6" x14ac:dyDescent="0.25">
      <c r="B3005" s="260"/>
    </row>
    <row r="3006" spans="1:6" x14ac:dyDescent="0.25">
      <c r="B3006" s="260"/>
    </row>
    <row r="3007" spans="1:6" x14ac:dyDescent="0.25">
      <c r="B3007" s="275"/>
    </row>
    <row r="3008" spans="1:6" x14ac:dyDescent="0.25">
      <c r="B3008" s="275"/>
    </row>
    <row r="3009" spans="1:6" x14ac:dyDescent="0.25">
      <c r="B3009" s="275"/>
    </row>
    <row r="3010" spans="1:6" ht="15.75" thickBot="1" x14ac:dyDescent="0.3">
      <c r="A3010" s="264"/>
      <c r="B3010" s="398"/>
      <c r="C3010" s="266"/>
      <c r="D3010" s="266"/>
      <c r="E3010" s="267"/>
      <c r="F3010" s="399"/>
    </row>
    <row r="3011" spans="1:6" x14ac:dyDescent="0.25">
      <c r="A3011" s="400"/>
      <c r="B3011" s="401"/>
      <c r="C3011" s="402"/>
      <c r="D3011" s="402"/>
      <c r="E3011" s="403"/>
      <c r="F3011" s="404"/>
    </row>
    <row r="3013" spans="1:6" x14ac:dyDescent="0.25">
      <c r="B3013" s="295"/>
    </row>
    <row r="3014" spans="1:6" x14ac:dyDescent="0.25">
      <c r="B3014" s="274"/>
    </row>
    <row r="3015" spans="1:6" x14ac:dyDescent="0.25">
      <c r="B3015" s="274"/>
    </row>
    <row r="3016" spans="1:6" x14ac:dyDescent="0.25">
      <c r="B3016" s="260"/>
    </row>
    <row r="3017" spans="1:6" x14ac:dyDescent="0.25">
      <c r="B3017" s="260"/>
    </row>
    <row r="3018" spans="1:6" x14ac:dyDescent="0.25">
      <c r="B3018" s="260"/>
    </row>
    <row r="3019" spans="1:6" x14ac:dyDescent="0.25">
      <c r="B3019" s="262"/>
    </row>
    <row r="3020" spans="1:6" s="99" customFormat="1" ht="12.75" x14ac:dyDescent="0.2">
      <c r="A3020" s="256"/>
      <c r="B3020" s="314"/>
      <c r="E3020" s="258"/>
      <c r="F3020" s="118"/>
    </row>
    <row r="3021" spans="1:6" s="99" customFormat="1" ht="12.75" x14ac:dyDescent="0.2">
      <c r="A3021" s="256"/>
      <c r="B3021" s="260"/>
      <c r="E3021" s="258"/>
      <c r="F3021" s="118"/>
    </row>
    <row r="3022" spans="1:6" s="99" customFormat="1" ht="12.75" x14ac:dyDescent="0.2">
      <c r="A3022" s="256"/>
      <c r="B3022" s="260"/>
      <c r="E3022" s="258"/>
      <c r="F3022" s="118"/>
    </row>
    <row r="3023" spans="1:6" s="99" customFormat="1" ht="12.75" x14ac:dyDescent="0.2">
      <c r="A3023" s="256"/>
      <c r="B3023" s="295"/>
      <c r="E3023" s="258"/>
      <c r="F3023" s="118"/>
    </row>
    <row r="3024" spans="1:6" s="99" customFormat="1" ht="12.75" x14ac:dyDescent="0.2">
      <c r="A3024" s="256"/>
      <c r="B3024" s="414"/>
      <c r="E3024" s="258"/>
      <c r="F3024" s="118"/>
    </row>
    <row r="3025" spans="1:6" s="99" customFormat="1" ht="12.75" x14ac:dyDescent="0.2">
      <c r="A3025" s="256"/>
      <c r="B3025" s="260"/>
      <c r="E3025" s="258"/>
      <c r="F3025" s="118"/>
    </row>
    <row r="3026" spans="1:6" s="99" customFormat="1" ht="12.75" x14ac:dyDescent="0.2">
      <c r="A3026" s="256"/>
      <c r="B3026" s="260"/>
      <c r="E3026" s="258"/>
      <c r="F3026" s="118"/>
    </row>
    <row r="3027" spans="1:6" s="99" customFormat="1" ht="12.75" x14ac:dyDescent="0.2">
      <c r="A3027" s="256"/>
      <c r="B3027" s="260"/>
      <c r="E3027" s="258"/>
      <c r="F3027" s="118"/>
    </row>
    <row r="3028" spans="1:6" s="99" customFormat="1" ht="12.75" x14ac:dyDescent="0.2">
      <c r="A3028" s="256"/>
      <c r="B3028" s="260"/>
      <c r="E3028" s="258"/>
      <c r="F3028" s="118"/>
    </row>
    <row r="3029" spans="1:6" s="99" customFormat="1" ht="12.75" x14ac:dyDescent="0.2">
      <c r="A3029" s="256"/>
      <c r="B3029" s="260"/>
      <c r="E3029" s="258"/>
      <c r="F3029" s="118"/>
    </row>
    <row r="3030" spans="1:6" s="99" customFormat="1" ht="12.75" x14ac:dyDescent="0.2">
      <c r="A3030" s="256"/>
      <c r="B3030" s="260"/>
      <c r="E3030" s="258"/>
      <c r="F3030" s="118"/>
    </row>
    <row r="3031" spans="1:6" s="99" customFormat="1" ht="12.75" x14ac:dyDescent="0.2">
      <c r="A3031" s="256"/>
      <c r="B3031" s="260"/>
      <c r="E3031" s="258"/>
      <c r="F3031" s="118"/>
    </row>
    <row r="3032" spans="1:6" s="99" customFormat="1" ht="12.75" x14ac:dyDescent="0.2">
      <c r="A3032" s="256"/>
      <c r="B3032" s="260"/>
      <c r="E3032" s="258"/>
      <c r="F3032" s="118"/>
    </row>
    <row r="3038" spans="1:6" x14ac:dyDescent="0.25">
      <c r="B3038" s="260"/>
    </row>
    <row r="3039" spans="1:6" x14ac:dyDescent="0.25">
      <c r="B3039" s="299"/>
    </row>
    <row r="3040" spans="1:6" x14ac:dyDescent="0.25">
      <c r="B3040" s="275"/>
    </row>
    <row r="3041" spans="1:6" x14ac:dyDescent="0.25">
      <c r="B3041" s="299"/>
    </row>
    <row r="3042" spans="1:6" x14ac:dyDescent="0.25">
      <c r="B3042" s="299"/>
    </row>
    <row r="3043" spans="1:6" x14ac:dyDescent="0.25">
      <c r="B3043" s="299"/>
    </row>
    <row r="3044" spans="1:6" x14ac:dyDescent="0.25">
      <c r="B3044" s="286"/>
    </row>
    <row r="3045" spans="1:6" ht="15.75" thickBot="1" x14ac:dyDescent="0.3">
      <c r="A3045" s="264"/>
      <c r="B3045" s="398"/>
      <c r="C3045" s="266"/>
      <c r="D3045" s="266"/>
      <c r="E3045" s="267"/>
      <c r="F3045" s="399"/>
    </row>
    <row r="3047" spans="1:6" x14ac:dyDescent="0.25">
      <c r="B3047" s="276"/>
    </row>
    <row r="3049" spans="1:6" x14ac:dyDescent="0.25">
      <c r="B3049" s="276"/>
    </row>
    <row r="3052" spans="1:6" ht="15.75" thickBot="1" x14ac:dyDescent="0.3">
      <c r="A3052" s="264"/>
      <c r="B3052" s="406"/>
      <c r="C3052" s="266"/>
      <c r="D3052" s="266"/>
      <c r="E3052" s="267"/>
      <c r="F3052" s="399"/>
    </row>
    <row r="3053" spans="1:6" x14ac:dyDescent="0.25">
      <c r="A3053" s="400"/>
      <c r="B3053" s="401"/>
      <c r="C3053" s="402"/>
      <c r="D3053" s="402"/>
      <c r="E3053" s="403"/>
      <c r="F3053" s="404"/>
    </row>
    <row r="3061" spans="1:6" s="99" customFormat="1" ht="12.75" x14ac:dyDescent="0.2">
      <c r="A3061" s="256"/>
      <c r="B3061" s="262"/>
      <c r="E3061" s="258"/>
      <c r="F3061" s="118"/>
    </row>
    <row r="3067" spans="1:6" s="99" customFormat="1" ht="12.75" x14ac:dyDescent="0.2">
      <c r="A3067" s="256"/>
      <c r="B3067" s="262"/>
      <c r="E3067" s="258"/>
      <c r="F3067" s="118"/>
    </row>
    <row r="3092" spans="1:6" ht="15.75" thickBot="1" x14ac:dyDescent="0.3">
      <c r="A3092" s="264"/>
      <c r="B3092" s="406"/>
      <c r="C3092" s="266"/>
      <c r="D3092" s="266"/>
      <c r="E3092" s="267"/>
      <c r="F3092" s="399"/>
    </row>
    <row r="3093" spans="1:6" x14ac:dyDescent="0.25">
      <c r="A3093" s="400"/>
      <c r="B3093" s="401"/>
      <c r="C3093" s="402"/>
      <c r="D3093" s="402"/>
      <c r="E3093" s="403"/>
      <c r="F3093" s="404"/>
    </row>
    <row r="3101" spans="1:6" s="99" customFormat="1" ht="12.75" x14ac:dyDescent="0.2">
      <c r="A3101" s="256"/>
      <c r="B3101" s="262"/>
      <c r="E3101" s="258"/>
      <c r="F3101" s="118"/>
    </row>
    <row r="3103" spans="1:6" s="99" customFormat="1" ht="12.75" x14ac:dyDescent="0.2">
      <c r="A3103" s="256"/>
      <c r="B3103" s="262"/>
      <c r="E3103" s="258"/>
      <c r="F3103" s="118"/>
    </row>
    <row r="3105" spans="1:6" s="99" customFormat="1" ht="12.75" x14ac:dyDescent="0.2">
      <c r="A3105" s="256"/>
      <c r="B3105" s="153"/>
      <c r="E3105" s="258"/>
      <c r="F3105" s="118"/>
    </row>
    <row r="3106" spans="1:6" s="99" customFormat="1" ht="12.75" x14ac:dyDescent="0.2">
      <c r="A3106" s="256"/>
      <c r="B3106" s="153"/>
      <c r="E3106" s="258"/>
      <c r="F3106" s="118"/>
    </row>
    <row r="3107" spans="1:6" s="99" customFormat="1" ht="12.75" x14ac:dyDescent="0.2">
      <c r="A3107" s="256"/>
      <c r="B3107" s="153"/>
      <c r="E3107" s="258"/>
      <c r="F3107" s="118"/>
    </row>
    <row r="3108" spans="1:6" s="99" customFormat="1" ht="12.75" x14ac:dyDescent="0.2">
      <c r="A3108" s="256"/>
      <c r="B3108" s="153"/>
      <c r="E3108" s="258"/>
      <c r="F3108" s="118"/>
    </row>
    <row r="3109" spans="1:6" s="99" customFormat="1" ht="12.75" x14ac:dyDescent="0.25">
      <c r="A3109" s="256"/>
      <c r="B3109" s="303"/>
      <c r="E3109" s="258"/>
      <c r="F3109" s="118"/>
    </row>
    <row r="3111" spans="1:6" s="99" customFormat="1" ht="12.75" x14ac:dyDescent="0.2">
      <c r="A3111" s="256"/>
      <c r="B3111" s="260"/>
      <c r="E3111" s="258"/>
      <c r="F3111" s="118"/>
    </row>
    <row r="3113" spans="1:6" s="99" customFormat="1" ht="12.75" x14ac:dyDescent="0.2">
      <c r="A3113" s="256"/>
      <c r="B3113" s="260"/>
      <c r="E3113" s="258"/>
      <c r="F3113" s="118"/>
    </row>
    <row r="3114" spans="1:6" s="99" customFormat="1" ht="12.75" x14ac:dyDescent="0.2">
      <c r="A3114" s="256"/>
      <c r="B3114" s="314"/>
      <c r="E3114" s="258"/>
      <c r="F3114" s="118"/>
    </row>
    <row r="3115" spans="1:6" s="99" customFormat="1" ht="12.75" x14ac:dyDescent="0.2">
      <c r="A3115" s="256"/>
      <c r="B3115" s="314"/>
      <c r="E3115" s="258"/>
      <c r="F3115" s="118"/>
    </row>
    <row r="3116" spans="1:6" x14ac:dyDescent="0.25">
      <c r="B3116" s="314"/>
    </row>
    <row r="3117" spans="1:6" x14ac:dyDescent="0.25">
      <c r="B3117" s="314"/>
    </row>
    <row r="3118" spans="1:6" x14ac:dyDescent="0.25">
      <c r="B3118" s="314"/>
    </row>
    <row r="3119" spans="1:6" x14ac:dyDescent="0.25">
      <c r="B3119" s="314"/>
    </row>
    <row r="3120" spans="1:6" x14ac:dyDescent="0.25">
      <c r="B3120" s="314"/>
    </row>
    <row r="3125" spans="1:6" ht="15.75" thickBot="1" x14ac:dyDescent="0.3">
      <c r="A3125" s="264"/>
      <c r="B3125" s="398"/>
      <c r="C3125" s="266"/>
      <c r="D3125" s="266"/>
      <c r="E3125" s="267"/>
      <c r="F3125" s="399"/>
    </row>
    <row r="3126" spans="1:6" x14ac:dyDescent="0.25">
      <c r="A3126" s="400"/>
      <c r="B3126" s="401"/>
      <c r="C3126" s="402"/>
      <c r="D3126" s="402"/>
      <c r="E3126" s="403"/>
      <c r="F3126" s="404"/>
    </row>
    <row r="3127" spans="1:6" x14ac:dyDescent="0.25">
      <c r="B3127" s="275"/>
    </row>
    <row r="3128" spans="1:6" x14ac:dyDescent="0.25">
      <c r="B3128" s="260"/>
    </row>
    <row r="3129" spans="1:6" x14ac:dyDescent="0.25">
      <c r="B3129" s="260"/>
    </row>
    <row r="3130" spans="1:6" x14ac:dyDescent="0.25">
      <c r="B3130" s="260"/>
    </row>
    <row r="3134" spans="1:6" x14ac:dyDescent="0.25">
      <c r="B3134" s="260"/>
    </row>
    <row r="3135" spans="1:6" x14ac:dyDescent="0.25">
      <c r="B3135" s="260"/>
    </row>
    <row r="3136" spans="1:6" x14ac:dyDescent="0.25">
      <c r="B3136" s="260"/>
    </row>
    <row r="3137" spans="1:6" x14ac:dyDescent="0.25">
      <c r="B3137" s="260"/>
    </row>
    <row r="3138" spans="1:6" x14ac:dyDescent="0.25">
      <c r="B3138" s="260"/>
    </row>
    <row r="3139" spans="1:6" x14ac:dyDescent="0.25">
      <c r="B3139" s="275"/>
    </row>
    <row r="3140" spans="1:6" x14ac:dyDescent="0.25">
      <c r="B3140" s="276"/>
    </row>
    <row r="3141" spans="1:6" ht="15.75" thickBot="1" x14ac:dyDescent="0.3">
      <c r="A3141" s="264"/>
      <c r="B3141" s="398"/>
      <c r="C3141" s="266"/>
      <c r="D3141" s="266"/>
      <c r="E3141" s="267"/>
      <c r="F3141" s="399"/>
    </row>
    <row r="3142" spans="1:6" x14ac:dyDescent="0.25">
      <c r="B3142" s="276"/>
    </row>
    <row r="3143" spans="1:6" x14ac:dyDescent="0.25">
      <c r="B3143" s="276"/>
    </row>
    <row r="3144" spans="1:6" x14ac:dyDescent="0.25">
      <c r="B3144" s="275"/>
    </row>
    <row r="3145" spans="1:6" x14ac:dyDescent="0.25">
      <c r="B3145" s="276"/>
    </row>
    <row r="3146" spans="1:6" x14ac:dyDescent="0.25">
      <c r="B3146" s="275"/>
    </row>
    <row r="3147" spans="1:6" x14ac:dyDescent="0.25">
      <c r="B3147" s="275"/>
    </row>
    <row r="3148" spans="1:6" s="99" customFormat="1" ht="12.75" x14ac:dyDescent="0.25">
      <c r="A3148" s="256"/>
      <c r="B3148" s="275"/>
      <c r="E3148" s="258"/>
      <c r="F3148" s="118"/>
    </row>
    <row r="3149" spans="1:6" s="99" customFormat="1" ht="12.75" x14ac:dyDescent="0.25">
      <c r="A3149" s="256"/>
      <c r="B3149" s="275"/>
      <c r="E3149" s="258"/>
      <c r="F3149" s="118"/>
    </row>
    <row r="3150" spans="1:6" s="99" customFormat="1" ht="12.75" x14ac:dyDescent="0.25">
      <c r="A3150" s="256"/>
      <c r="B3150" s="275"/>
      <c r="E3150" s="258"/>
      <c r="F3150" s="118"/>
    </row>
    <row r="3151" spans="1:6" s="99" customFormat="1" ht="12.75" x14ac:dyDescent="0.25">
      <c r="A3151" s="256"/>
      <c r="B3151" s="275"/>
      <c r="E3151" s="258"/>
      <c r="F3151" s="118"/>
    </row>
    <row r="3152" spans="1:6" s="99" customFormat="1" ht="12.75" x14ac:dyDescent="0.25">
      <c r="A3152" s="256"/>
      <c r="B3152" s="275"/>
      <c r="E3152" s="258"/>
      <c r="F3152" s="118"/>
    </row>
    <row r="3153" spans="1:6" s="99" customFormat="1" ht="12.75" x14ac:dyDescent="0.25">
      <c r="A3153" s="256"/>
      <c r="B3153" s="275"/>
      <c r="E3153" s="258"/>
      <c r="F3153" s="118"/>
    </row>
    <row r="3154" spans="1:6" s="99" customFormat="1" ht="12.75" x14ac:dyDescent="0.25">
      <c r="A3154" s="256"/>
      <c r="B3154" s="275"/>
      <c r="E3154" s="258"/>
      <c r="F3154" s="118"/>
    </row>
    <row r="3155" spans="1:6" s="99" customFormat="1" ht="12.75" x14ac:dyDescent="0.25">
      <c r="A3155" s="256"/>
      <c r="B3155" s="275"/>
      <c r="E3155" s="258"/>
      <c r="F3155" s="118"/>
    </row>
    <row r="3156" spans="1:6" s="99" customFormat="1" ht="12.75" x14ac:dyDescent="0.25">
      <c r="A3156" s="256"/>
      <c r="B3156" s="275"/>
      <c r="E3156" s="258"/>
      <c r="F3156" s="118"/>
    </row>
    <row r="3157" spans="1:6" s="99" customFormat="1" ht="12.75" x14ac:dyDescent="0.25">
      <c r="A3157" s="256"/>
      <c r="B3157" s="275"/>
      <c r="E3157" s="258"/>
      <c r="F3157" s="118"/>
    </row>
    <row r="3158" spans="1:6" s="99" customFormat="1" ht="12.75" x14ac:dyDescent="0.25">
      <c r="A3158" s="256"/>
      <c r="B3158" s="275"/>
      <c r="E3158" s="258"/>
      <c r="F3158" s="118"/>
    </row>
    <row r="3159" spans="1:6" s="99" customFormat="1" ht="12.75" x14ac:dyDescent="0.25">
      <c r="A3159" s="256"/>
      <c r="B3159" s="275"/>
      <c r="E3159" s="258"/>
      <c r="F3159" s="118"/>
    </row>
    <row r="3160" spans="1:6" s="99" customFormat="1" ht="12.75" x14ac:dyDescent="0.25">
      <c r="A3160" s="256"/>
      <c r="B3160" s="275"/>
      <c r="E3160" s="258"/>
      <c r="F3160" s="118"/>
    </row>
    <row r="3161" spans="1:6" s="99" customFormat="1" ht="12.75" x14ac:dyDescent="0.25">
      <c r="A3161" s="256"/>
      <c r="B3161" s="275"/>
      <c r="E3161" s="258"/>
      <c r="F3161" s="118"/>
    </row>
    <row r="3162" spans="1:6" s="99" customFormat="1" ht="12.75" x14ac:dyDescent="0.25">
      <c r="A3162" s="256"/>
      <c r="B3162" s="275"/>
      <c r="E3162" s="258"/>
      <c r="F3162" s="118"/>
    </row>
    <row r="3163" spans="1:6" s="99" customFormat="1" ht="12.75" x14ac:dyDescent="0.25">
      <c r="A3163" s="256"/>
      <c r="B3163" s="275"/>
      <c r="E3163" s="258"/>
      <c r="F3163" s="118"/>
    </row>
    <row r="3164" spans="1:6" x14ac:dyDescent="0.25">
      <c r="B3164" s="275"/>
    </row>
    <row r="3165" spans="1:6" x14ac:dyDescent="0.25">
      <c r="B3165" s="275"/>
    </row>
    <row r="3166" spans="1:6" x14ac:dyDescent="0.25">
      <c r="B3166" s="275"/>
    </row>
    <row r="3167" spans="1:6" ht="15.75" thickBot="1" x14ac:dyDescent="0.3">
      <c r="A3167" s="264"/>
      <c r="B3167" s="406"/>
      <c r="C3167" s="266"/>
      <c r="D3167" s="266"/>
      <c r="E3167" s="267"/>
      <c r="F3167" s="399"/>
    </row>
    <row r="3168" spans="1:6" x14ac:dyDescent="0.25">
      <c r="A3168" s="400"/>
      <c r="B3168" s="401"/>
      <c r="C3168" s="402"/>
      <c r="D3168" s="402"/>
      <c r="E3168" s="403"/>
      <c r="F3168" s="404"/>
    </row>
    <row r="3174" spans="1:6" s="99" customFormat="1" ht="12.75" x14ac:dyDescent="0.2">
      <c r="A3174" s="256"/>
      <c r="B3174" s="295"/>
      <c r="E3174" s="258"/>
      <c r="F3174" s="118"/>
    </row>
    <row r="3176" spans="1:6" s="99" customFormat="1" ht="12.75" x14ac:dyDescent="0.2">
      <c r="A3176" s="256"/>
      <c r="B3176" s="260"/>
      <c r="E3176" s="258"/>
      <c r="F3176" s="118"/>
    </row>
    <row r="3178" spans="1:6" s="99" customFormat="1" ht="12.75" x14ac:dyDescent="0.2">
      <c r="A3178" s="256"/>
      <c r="B3178" s="260"/>
      <c r="E3178" s="258"/>
      <c r="F3178" s="118"/>
    </row>
    <row r="3179" spans="1:6" s="99" customFormat="1" ht="12.75" x14ac:dyDescent="0.2">
      <c r="A3179" s="256"/>
      <c r="B3179" s="260"/>
      <c r="E3179" s="258"/>
      <c r="F3179" s="118"/>
    </row>
    <row r="3180" spans="1:6" s="99" customFormat="1" ht="12.75" x14ac:dyDescent="0.2">
      <c r="A3180" s="256"/>
      <c r="B3180" s="260"/>
      <c r="E3180" s="258"/>
      <c r="F3180" s="118"/>
    </row>
    <row r="3181" spans="1:6" s="99" customFormat="1" ht="12.75" x14ac:dyDescent="0.2">
      <c r="A3181" s="256"/>
      <c r="B3181" s="260"/>
      <c r="E3181" s="258"/>
      <c r="F3181" s="118"/>
    </row>
    <row r="3182" spans="1:6" s="99" customFormat="1" ht="12.75" x14ac:dyDescent="0.2">
      <c r="A3182" s="256"/>
      <c r="B3182" s="260"/>
      <c r="E3182" s="258"/>
      <c r="F3182" s="118"/>
    </row>
    <row r="3183" spans="1:6" s="99" customFormat="1" ht="12.75" x14ac:dyDescent="0.2">
      <c r="A3183" s="256"/>
      <c r="B3183" s="415"/>
      <c r="E3183" s="258"/>
      <c r="F3183" s="118"/>
    </row>
    <row r="3184" spans="1:6" s="99" customFormat="1" ht="12.75" x14ac:dyDescent="0.2">
      <c r="A3184" s="256"/>
      <c r="B3184" s="318"/>
      <c r="E3184" s="258"/>
      <c r="F3184" s="118"/>
    </row>
    <row r="3185" spans="1:6" s="99" customFormat="1" ht="12.75" x14ac:dyDescent="0.2">
      <c r="A3185" s="256"/>
      <c r="B3185" s="317"/>
      <c r="E3185" s="258"/>
      <c r="F3185" s="118"/>
    </row>
    <row r="3186" spans="1:6" s="99" customFormat="1" ht="12.75" x14ac:dyDescent="0.2">
      <c r="A3186" s="256"/>
      <c r="B3186" s="318"/>
      <c r="E3186" s="258"/>
      <c r="F3186" s="118"/>
    </row>
    <row r="3190" spans="1:6" x14ac:dyDescent="0.25">
      <c r="B3190" s="295"/>
    </row>
    <row r="3191" spans="1:6" x14ac:dyDescent="0.25">
      <c r="B3191" s="260"/>
    </row>
    <row r="3192" spans="1:6" x14ac:dyDescent="0.25">
      <c r="B3192" s="262"/>
    </row>
    <row r="3193" spans="1:6" x14ac:dyDescent="0.25">
      <c r="B3193" s="319"/>
    </row>
    <row r="3194" spans="1:6" ht="15.75" thickBot="1" x14ac:dyDescent="0.3">
      <c r="A3194" s="264"/>
      <c r="B3194" s="398"/>
      <c r="C3194" s="266"/>
      <c r="D3194" s="266"/>
      <c r="E3194" s="267"/>
      <c r="F3194" s="399"/>
    </row>
    <row r="3195" spans="1:6" x14ac:dyDescent="0.25">
      <c r="A3195" s="400"/>
      <c r="B3195" s="401"/>
      <c r="C3195" s="402"/>
      <c r="D3195" s="402"/>
      <c r="E3195" s="403"/>
      <c r="F3195" s="404"/>
    </row>
    <row r="3197" spans="1:6" s="118" customFormat="1" ht="12.75" x14ac:dyDescent="0.2">
      <c r="A3197" s="256"/>
      <c r="B3197" s="123"/>
      <c r="C3197" s="99"/>
      <c r="D3197" s="99"/>
      <c r="E3197" s="258"/>
    </row>
    <row r="3199" spans="1:6" s="118" customFormat="1" ht="12.75" x14ac:dyDescent="0.2">
      <c r="A3199" s="256"/>
      <c r="B3199" s="262"/>
      <c r="C3199" s="99"/>
      <c r="D3199" s="99"/>
      <c r="E3199" s="258"/>
    </row>
    <row r="3200" spans="1:6" s="118" customFormat="1" ht="12.75" x14ac:dyDescent="0.2">
      <c r="A3200" s="256"/>
      <c r="B3200" s="260"/>
      <c r="C3200" s="99"/>
      <c r="D3200" s="99"/>
      <c r="E3200" s="258"/>
    </row>
    <row r="3201" spans="1:6" s="118" customFormat="1" ht="12.75" x14ac:dyDescent="0.2">
      <c r="A3201" s="256"/>
      <c r="B3201" s="123"/>
      <c r="C3201" s="99"/>
      <c r="D3201" s="99"/>
      <c r="E3201" s="258"/>
    </row>
    <row r="3202" spans="1:6" s="118" customFormat="1" ht="12.75" x14ac:dyDescent="0.2">
      <c r="A3202" s="256"/>
      <c r="B3202" s="260"/>
      <c r="C3202" s="99"/>
      <c r="D3202" s="99"/>
      <c r="E3202" s="258"/>
    </row>
    <row r="3203" spans="1:6" s="118" customFormat="1" ht="12.75" x14ac:dyDescent="0.2">
      <c r="A3203" s="310"/>
      <c r="B3203" s="260"/>
      <c r="C3203" s="311"/>
      <c r="D3203" s="311"/>
      <c r="E3203" s="312"/>
    </row>
    <row r="3204" spans="1:6" s="118" customFormat="1" ht="12.75" x14ac:dyDescent="0.2">
      <c r="A3204" s="310"/>
      <c r="B3204" s="260"/>
      <c r="C3204" s="311"/>
      <c r="D3204" s="311"/>
      <c r="E3204" s="312"/>
    </row>
    <row r="3205" spans="1:6" s="118" customFormat="1" ht="12.75" x14ac:dyDescent="0.2">
      <c r="A3205" s="310"/>
      <c r="B3205" s="260"/>
      <c r="C3205" s="311"/>
      <c r="D3205" s="311"/>
      <c r="E3205" s="312"/>
    </row>
    <row r="3206" spans="1:6" s="118" customFormat="1" ht="12.75" x14ac:dyDescent="0.2">
      <c r="A3206" s="310"/>
      <c r="B3206" s="260"/>
      <c r="C3206" s="311"/>
      <c r="D3206" s="311"/>
      <c r="E3206" s="312"/>
    </row>
    <row r="3207" spans="1:6" s="118" customFormat="1" ht="12.75" x14ac:dyDescent="0.2">
      <c r="A3207" s="310"/>
      <c r="B3207" s="260"/>
      <c r="C3207" s="311"/>
      <c r="D3207" s="311"/>
      <c r="E3207" s="312"/>
    </row>
    <row r="3208" spans="1:6" s="118" customFormat="1" ht="12.75" x14ac:dyDescent="0.2">
      <c r="A3208" s="256"/>
      <c r="B3208" s="260"/>
      <c r="C3208" s="99"/>
      <c r="D3208" s="99"/>
      <c r="E3208" s="258"/>
    </row>
    <row r="3209" spans="1:6" s="118" customFormat="1" ht="12.75" x14ac:dyDescent="0.2">
      <c r="A3209" s="310"/>
      <c r="B3209" s="260"/>
      <c r="C3209" s="311"/>
      <c r="D3209" s="311"/>
      <c r="E3209" s="312"/>
    </row>
    <row r="3210" spans="1:6" s="118" customFormat="1" ht="12.75" x14ac:dyDescent="0.2">
      <c r="A3210" s="310"/>
      <c r="B3210" s="260"/>
      <c r="C3210" s="311"/>
      <c r="D3210" s="311"/>
      <c r="E3210" s="312"/>
    </row>
    <row r="3211" spans="1:6" s="118" customFormat="1" ht="12.75" x14ac:dyDescent="0.2">
      <c r="A3211" s="310"/>
      <c r="B3211" s="260"/>
      <c r="C3211" s="311"/>
      <c r="D3211" s="311"/>
      <c r="E3211" s="312"/>
    </row>
    <row r="3212" spans="1:6" s="99" customFormat="1" ht="12.75" x14ac:dyDescent="0.2">
      <c r="A3212" s="256"/>
      <c r="B3212" s="260"/>
      <c r="E3212" s="258"/>
      <c r="F3212" s="118"/>
    </row>
    <row r="3213" spans="1:6" s="99" customFormat="1" ht="12.75" x14ac:dyDescent="0.2">
      <c r="A3213" s="256"/>
      <c r="B3213" s="262"/>
      <c r="E3213" s="258"/>
      <c r="F3213" s="118"/>
    </row>
    <row r="3215" spans="1:6" s="99" customFormat="1" ht="12.75" x14ac:dyDescent="0.2">
      <c r="A3215" s="256"/>
      <c r="B3215" s="123"/>
      <c r="E3215" s="258"/>
      <c r="F3215" s="118"/>
    </row>
    <row r="3217" spans="1:6" s="99" customFormat="1" ht="12.75" x14ac:dyDescent="0.2">
      <c r="A3217" s="256"/>
      <c r="B3217" s="262"/>
      <c r="E3217" s="258"/>
      <c r="F3217" s="118"/>
    </row>
    <row r="3219" spans="1:6" s="99" customFormat="1" ht="12.75" x14ac:dyDescent="0.2">
      <c r="A3219" s="256"/>
      <c r="B3219" s="123"/>
      <c r="E3219" s="258"/>
      <c r="F3219" s="118"/>
    </row>
    <row r="3221" spans="1:6" s="99" customFormat="1" ht="12.75" x14ac:dyDescent="0.2">
      <c r="A3221" s="256"/>
      <c r="B3221" s="123"/>
      <c r="E3221" s="258"/>
      <c r="F3221" s="118"/>
    </row>
    <row r="3236" spans="1:6" ht="15.75" thickBot="1" x14ac:dyDescent="0.3">
      <c r="A3236" s="264"/>
      <c r="B3236" s="398"/>
      <c r="C3236" s="266"/>
      <c r="D3236" s="266"/>
      <c r="E3236" s="267"/>
      <c r="F3236" s="399"/>
    </row>
    <row r="3237" spans="1:6" x14ac:dyDescent="0.25">
      <c r="A3237" s="400"/>
      <c r="B3237" s="401"/>
      <c r="C3237" s="402"/>
      <c r="D3237" s="402"/>
      <c r="E3237" s="403"/>
      <c r="F3237" s="404"/>
    </row>
    <row r="3238" spans="1:6" x14ac:dyDescent="0.25">
      <c r="B3238" s="276"/>
    </row>
    <row r="3239" spans="1:6" x14ac:dyDescent="0.25">
      <c r="B3239" s="260"/>
    </row>
    <row r="3241" spans="1:6" x14ac:dyDescent="0.25">
      <c r="B3241" s="262"/>
    </row>
    <row r="3243" spans="1:6" x14ac:dyDescent="0.25">
      <c r="B3243" s="123"/>
    </row>
    <row r="3245" spans="1:6" x14ac:dyDescent="0.25">
      <c r="B3245" s="123"/>
    </row>
    <row r="3247" spans="1:6" x14ac:dyDescent="0.25">
      <c r="B3247" s="260"/>
    </row>
    <row r="3249" spans="1:6" x14ac:dyDescent="0.25">
      <c r="B3249" s="262"/>
    </row>
    <row r="3251" spans="1:6" x14ac:dyDescent="0.25">
      <c r="B3251" s="260"/>
    </row>
    <row r="3252" spans="1:6" x14ac:dyDescent="0.25">
      <c r="B3252" s="274"/>
    </row>
    <row r="3253" spans="1:6" x14ac:dyDescent="0.25">
      <c r="B3253" s="274"/>
    </row>
    <row r="3254" spans="1:6" ht="15.75" thickBot="1" x14ac:dyDescent="0.3">
      <c r="A3254" s="264"/>
      <c r="B3254" s="398"/>
      <c r="C3254" s="266"/>
      <c r="D3254" s="266"/>
      <c r="E3254" s="267"/>
      <c r="F3254" s="399"/>
    </row>
    <row r="3255" spans="1:6" x14ac:dyDescent="0.25">
      <c r="B3255" s="262"/>
    </row>
    <row r="3256" spans="1:6" x14ac:dyDescent="0.25">
      <c r="B3256" s="276"/>
    </row>
    <row r="3257" spans="1:6" x14ac:dyDescent="0.25">
      <c r="B3257" s="260"/>
    </row>
    <row r="3258" spans="1:6" x14ac:dyDescent="0.25">
      <c r="B3258" s="276"/>
    </row>
    <row r="3259" spans="1:6" x14ac:dyDescent="0.25">
      <c r="B3259" s="274"/>
    </row>
    <row r="3260" spans="1:6" s="99" customFormat="1" ht="12.75" x14ac:dyDescent="0.25">
      <c r="A3260" s="256"/>
      <c r="B3260" s="276"/>
      <c r="E3260" s="258"/>
      <c r="F3260" s="118"/>
    </row>
    <row r="3261" spans="1:6" s="99" customFormat="1" ht="12.75" x14ac:dyDescent="0.2">
      <c r="A3261" s="256"/>
      <c r="B3261" s="123"/>
      <c r="E3261" s="258"/>
      <c r="F3261" s="118"/>
    </row>
    <row r="3262" spans="1:6" s="99" customFormat="1" ht="12.75" x14ac:dyDescent="0.2">
      <c r="A3262" s="256"/>
      <c r="B3262" s="260"/>
      <c r="E3262" s="258"/>
      <c r="F3262" s="118"/>
    </row>
    <row r="3263" spans="1:6" s="99" customFormat="1" ht="12.75" x14ac:dyDescent="0.2">
      <c r="A3263" s="256"/>
      <c r="B3263" s="262"/>
      <c r="E3263" s="258"/>
      <c r="F3263" s="118"/>
    </row>
    <row r="3264" spans="1:6" s="99" customFormat="1" ht="12.75" x14ac:dyDescent="0.2">
      <c r="A3264" s="256"/>
      <c r="B3264" s="274"/>
      <c r="E3264" s="258"/>
      <c r="F3264" s="118"/>
    </row>
    <row r="3265" spans="1:6" s="99" customFormat="1" ht="12.75" x14ac:dyDescent="0.2">
      <c r="A3265" s="256"/>
      <c r="B3265" s="274"/>
      <c r="E3265" s="258"/>
      <c r="F3265" s="118"/>
    </row>
    <row r="3266" spans="1:6" s="99" customFormat="1" ht="12.75" x14ac:dyDescent="0.2">
      <c r="A3266" s="256"/>
      <c r="B3266" s="274"/>
      <c r="E3266" s="258"/>
      <c r="F3266" s="118"/>
    </row>
    <row r="3267" spans="1:6" s="99" customFormat="1" ht="12.75" x14ac:dyDescent="0.2">
      <c r="A3267" s="256"/>
      <c r="B3267" s="274"/>
      <c r="E3267" s="258"/>
      <c r="F3267" s="118"/>
    </row>
    <row r="3268" spans="1:6" s="99" customFormat="1" ht="12.75" x14ac:dyDescent="0.2">
      <c r="A3268" s="256"/>
      <c r="B3268" s="274"/>
      <c r="E3268" s="258"/>
      <c r="F3268" s="118"/>
    </row>
    <row r="3269" spans="1:6" s="99" customFormat="1" ht="12.75" x14ac:dyDescent="0.2">
      <c r="A3269" s="256"/>
      <c r="B3269" s="274"/>
      <c r="E3269" s="258"/>
      <c r="F3269" s="118"/>
    </row>
    <row r="3270" spans="1:6" s="99" customFormat="1" ht="12.75" x14ac:dyDescent="0.2">
      <c r="A3270" s="256"/>
      <c r="B3270" s="274"/>
      <c r="E3270" s="258"/>
      <c r="F3270" s="118"/>
    </row>
    <row r="3271" spans="1:6" s="99" customFormat="1" ht="12.75" x14ac:dyDescent="0.2">
      <c r="A3271" s="256"/>
      <c r="B3271" s="274"/>
      <c r="E3271" s="258"/>
      <c r="F3271" s="118"/>
    </row>
    <row r="3272" spans="1:6" s="99" customFormat="1" ht="12.75" x14ac:dyDescent="0.2">
      <c r="A3272" s="256"/>
      <c r="B3272" s="274"/>
      <c r="E3272" s="258"/>
      <c r="F3272" s="118"/>
    </row>
    <row r="3273" spans="1:6" s="99" customFormat="1" ht="12.75" x14ac:dyDescent="0.2">
      <c r="A3273" s="256"/>
      <c r="B3273" s="274"/>
      <c r="E3273" s="258"/>
      <c r="F3273" s="118"/>
    </row>
    <row r="3274" spans="1:6" s="99" customFormat="1" ht="12.75" x14ac:dyDescent="0.2">
      <c r="A3274" s="256"/>
      <c r="B3274" s="274"/>
      <c r="E3274" s="258"/>
      <c r="F3274" s="118"/>
    </row>
    <row r="3275" spans="1:6" s="99" customFormat="1" ht="12.75" x14ac:dyDescent="0.2">
      <c r="A3275" s="256"/>
      <c r="B3275" s="274"/>
      <c r="E3275" s="258"/>
      <c r="F3275" s="118"/>
    </row>
    <row r="3276" spans="1:6" ht="15.75" thickBot="1" x14ac:dyDescent="0.3">
      <c r="A3276" s="264"/>
      <c r="B3276" s="406"/>
      <c r="C3276" s="266"/>
      <c r="D3276" s="266"/>
      <c r="E3276" s="267"/>
      <c r="F3276" s="399"/>
    </row>
    <row r="3277" spans="1:6" x14ac:dyDescent="0.25">
      <c r="A3277" s="400"/>
      <c r="B3277" s="401"/>
      <c r="C3277" s="402"/>
      <c r="D3277" s="402"/>
      <c r="E3277" s="403"/>
      <c r="F3277" s="404"/>
    </row>
    <row r="3278" spans="1:6" x14ac:dyDescent="0.25">
      <c r="B3278" s="276"/>
      <c r="F3278" s="407"/>
    </row>
    <row r="3279" spans="1:6" x14ac:dyDescent="0.25">
      <c r="B3279" s="356"/>
    </row>
    <row r="3280" spans="1:6" x14ac:dyDescent="0.25">
      <c r="B3280" s="331"/>
    </row>
    <row r="3281" spans="2:6" x14ac:dyDescent="0.25">
      <c r="B3281" s="295"/>
    </row>
    <row r="3282" spans="2:6" x14ac:dyDescent="0.25">
      <c r="B3282" s="319"/>
    </row>
    <row r="3283" spans="2:6" x14ac:dyDescent="0.25">
      <c r="B3283" s="260"/>
    </row>
    <row r="3284" spans="2:6" x14ac:dyDescent="0.25">
      <c r="B3284" s="276"/>
      <c r="F3284" s="407"/>
    </row>
    <row r="3285" spans="2:6" x14ac:dyDescent="0.25">
      <c r="B3285" s="262"/>
    </row>
    <row r="3286" spans="2:6" x14ac:dyDescent="0.25">
      <c r="B3286" s="260"/>
    </row>
    <row r="3287" spans="2:6" x14ac:dyDescent="0.25">
      <c r="B3287" s="295"/>
    </row>
    <row r="3288" spans="2:6" x14ac:dyDescent="0.25">
      <c r="B3288" s="260"/>
    </row>
    <row r="3289" spans="2:6" x14ac:dyDescent="0.25">
      <c r="B3289" s="262"/>
    </row>
    <row r="3290" spans="2:6" x14ac:dyDescent="0.25">
      <c r="B3290" s="319"/>
    </row>
    <row r="3291" spans="2:6" x14ac:dyDescent="0.25">
      <c r="B3291" s="274"/>
    </row>
    <row r="3292" spans="2:6" x14ac:dyDescent="0.25">
      <c r="B3292" s="274"/>
    </row>
    <row r="3293" spans="2:6" x14ac:dyDescent="0.25">
      <c r="B3293" s="324"/>
    </row>
    <row r="3295" spans="2:6" x14ac:dyDescent="0.25">
      <c r="B3295" s="295"/>
    </row>
    <row r="3296" spans="2:6" x14ac:dyDescent="0.25">
      <c r="B3296" s="260"/>
      <c r="E3296" s="272"/>
    </row>
    <row r="3297" spans="2:6" x14ac:dyDescent="0.25">
      <c r="B3297" s="260"/>
      <c r="E3297" s="272"/>
    </row>
    <row r="3298" spans="2:6" x14ac:dyDescent="0.25">
      <c r="B3298" s="262"/>
      <c r="F3298" s="333"/>
    </row>
    <row r="3299" spans="2:6" x14ac:dyDescent="0.25">
      <c r="F3299" s="333"/>
    </row>
    <row r="3300" spans="2:6" x14ac:dyDescent="0.25">
      <c r="B3300" s="262"/>
      <c r="F3300" s="333"/>
    </row>
    <row r="3301" spans="2:6" x14ac:dyDescent="0.25">
      <c r="F3301" s="333"/>
    </row>
    <row r="3302" spans="2:6" x14ac:dyDescent="0.25">
      <c r="B3302" s="262"/>
      <c r="F3302" s="333"/>
    </row>
    <row r="3303" spans="2:6" x14ac:dyDescent="0.25">
      <c r="F3303" s="333"/>
    </row>
    <row r="3304" spans="2:6" x14ac:dyDescent="0.25">
      <c r="B3304" s="262"/>
      <c r="F3304" s="333"/>
    </row>
    <row r="3305" spans="2:6" x14ac:dyDescent="0.25">
      <c r="B3305" s="260"/>
      <c r="E3305" s="272"/>
    </row>
    <row r="3306" spans="2:6" x14ac:dyDescent="0.25">
      <c r="B3306" s="260"/>
      <c r="E3306" s="272"/>
    </row>
    <row r="3307" spans="2:6" x14ac:dyDescent="0.25">
      <c r="B3307" s="260"/>
      <c r="E3307" s="272"/>
    </row>
    <row r="3308" spans="2:6" x14ac:dyDescent="0.25">
      <c r="B3308" s="260"/>
    </row>
    <row r="3309" spans="2:6" x14ac:dyDescent="0.25">
      <c r="B3309" s="276"/>
      <c r="F3309" s="407"/>
    </row>
    <row r="3310" spans="2:6" x14ac:dyDescent="0.25">
      <c r="B3310" s="276"/>
      <c r="F3310" s="407"/>
    </row>
    <row r="3311" spans="2:6" x14ac:dyDescent="0.25">
      <c r="B3311" s="276"/>
      <c r="F3311" s="407"/>
    </row>
    <row r="3312" spans="2:6" x14ac:dyDescent="0.25">
      <c r="B3312" s="276"/>
      <c r="F3312" s="407"/>
    </row>
    <row r="3313" spans="1:6" ht="15.75" thickBot="1" x14ac:dyDescent="0.3">
      <c r="A3313" s="264"/>
      <c r="B3313" s="398"/>
      <c r="C3313" s="266"/>
      <c r="D3313" s="266"/>
      <c r="E3313" s="267"/>
      <c r="F3313" s="399"/>
    </row>
    <row r="3314" spans="1:6" x14ac:dyDescent="0.25">
      <c r="A3314" s="400"/>
      <c r="B3314" s="401"/>
      <c r="C3314" s="402"/>
      <c r="D3314" s="402"/>
      <c r="E3314" s="403"/>
      <c r="F3314" s="404"/>
    </row>
    <row r="3316" spans="1:6" x14ac:dyDescent="0.25">
      <c r="B3316" s="295"/>
      <c r="F3316" s="333"/>
    </row>
    <row r="3317" spans="1:6" x14ac:dyDescent="0.25">
      <c r="B3317" s="260"/>
      <c r="F3317" s="333"/>
    </row>
    <row r="3318" spans="1:6" x14ac:dyDescent="0.25">
      <c r="B3318" s="295"/>
      <c r="F3318" s="333"/>
    </row>
    <row r="3319" spans="1:6" x14ac:dyDescent="0.25">
      <c r="B3319" s="260"/>
      <c r="F3319" s="333"/>
    </row>
    <row r="3320" spans="1:6" x14ac:dyDescent="0.25">
      <c r="B3320" s="260"/>
      <c r="F3320" s="333"/>
    </row>
    <row r="3321" spans="1:6" x14ac:dyDescent="0.25">
      <c r="B3321" s="274"/>
      <c r="F3321" s="333"/>
    </row>
    <row r="3322" spans="1:6" x14ac:dyDescent="0.25">
      <c r="B3322" s="262"/>
      <c r="F3322" s="333"/>
    </row>
    <row r="3323" spans="1:6" x14ac:dyDescent="0.25">
      <c r="B3323" s="260"/>
      <c r="F3323" s="333"/>
    </row>
    <row r="3324" spans="1:6" x14ac:dyDescent="0.25">
      <c r="B3324" s="260"/>
      <c r="F3324" s="333"/>
    </row>
    <row r="3325" spans="1:6" s="99" customFormat="1" ht="12.75" x14ac:dyDescent="0.25">
      <c r="A3325" s="256"/>
      <c r="B3325" s="275"/>
      <c r="E3325" s="258"/>
      <c r="F3325" s="118"/>
    </row>
    <row r="3326" spans="1:6" s="99" customFormat="1" ht="12.75" x14ac:dyDescent="0.2">
      <c r="A3326" s="256"/>
      <c r="B3326" s="262"/>
      <c r="E3326" s="258"/>
      <c r="F3326" s="118"/>
    </row>
    <row r="3328" spans="1:6" s="99" customFormat="1" ht="12.75" x14ac:dyDescent="0.2">
      <c r="A3328" s="256"/>
      <c r="B3328" s="123"/>
      <c r="E3328" s="258"/>
      <c r="F3328" s="118"/>
    </row>
    <row r="3330" spans="1:6" s="99" customFormat="1" ht="12.75" x14ac:dyDescent="0.2">
      <c r="A3330" s="256"/>
      <c r="B3330" s="262"/>
      <c r="E3330" s="258"/>
      <c r="F3330" s="118"/>
    </row>
    <row r="3332" spans="1:6" s="99" customFormat="1" ht="12.75" x14ac:dyDescent="0.2">
      <c r="A3332" s="256"/>
      <c r="B3332" s="123"/>
      <c r="E3332" s="258"/>
      <c r="F3332" s="118"/>
    </row>
    <row r="3334" spans="1:6" s="99" customFormat="1" ht="12.75" x14ac:dyDescent="0.2">
      <c r="A3334" s="256"/>
      <c r="B3334" s="260"/>
      <c r="E3334" s="258"/>
      <c r="F3334" s="118"/>
    </row>
    <row r="3335" spans="1:6" s="99" customFormat="1" ht="12.75" x14ac:dyDescent="0.2">
      <c r="A3335" s="256"/>
      <c r="B3335" s="260"/>
      <c r="E3335" s="258"/>
      <c r="F3335" s="118"/>
    </row>
    <row r="3336" spans="1:6" s="99" customFormat="1" ht="12.75" x14ac:dyDescent="0.2">
      <c r="A3336" s="256"/>
      <c r="B3336" s="295"/>
      <c r="E3336" s="258"/>
      <c r="F3336" s="118"/>
    </row>
    <row r="3337" spans="1:6" s="99" customFormat="1" ht="12.75" x14ac:dyDescent="0.2">
      <c r="A3337" s="256"/>
      <c r="B3337" s="260"/>
      <c r="E3337" s="258"/>
      <c r="F3337" s="118"/>
    </row>
    <row r="3338" spans="1:6" s="99" customFormat="1" ht="12.75" x14ac:dyDescent="0.2">
      <c r="A3338" s="256"/>
      <c r="B3338" s="260"/>
      <c r="E3338" s="258"/>
      <c r="F3338" s="118"/>
    </row>
    <row r="3339" spans="1:6" s="99" customFormat="1" ht="12.75" x14ac:dyDescent="0.2">
      <c r="A3339" s="256"/>
      <c r="B3339" s="260"/>
      <c r="E3339" s="258"/>
      <c r="F3339" s="118"/>
    </row>
    <row r="3340" spans="1:6" s="99" customFormat="1" ht="12.75" x14ac:dyDescent="0.2">
      <c r="A3340" s="256"/>
      <c r="B3340" s="262"/>
      <c r="E3340" s="258"/>
      <c r="F3340" s="118"/>
    </row>
    <row r="3341" spans="1:6" x14ac:dyDescent="0.25">
      <c r="B3341" s="260"/>
    </row>
    <row r="3342" spans="1:6" x14ac:dyDescent="0.25">
      <c r="B3342" s="260"/>
    </row>
    <row r="3347" spans="1:6" x14ac:dyDescent="0.25">
      <c r="B3347" s="123"/>
      <c r="E3347" s="412"/>
      <c r="F3347" s="413"/>
    </row>
    <row r="3348" spans="1:6" ht="15.75" thickBot="1" x14ac:dyDescent="0.3">
      <c r="A3348" s="264"/>
      <c r="B3348" s="398"/>
      <c r="C3348" s="266"/>
      <c r="D3348" s="266"/>
      <c r="E3348" s="267"/>
      <c r="F3348" s="399"/>
    </row>
    <row r="3349" spans="1:6" x14ac:dyDescent="0.25">
      <c r="A3349" s="400"/>
      <c r="B3349" s="401"/>
      <c r="C3349" s="402"/>
      <c r="D3349" s="402"/>
      <c r="E3349" s="403"/>
      <c r="F3349" s="404"/>
    </row>
    <row r="3350" spans="1:6" x14ac:dyDescent="0.25">
      <c r="B3350" s="275"/>
    </row>
    <row r="3351" spans="1:6" x14ac:dyDescent="0.25">
      <c r="B3351" s="260"/>
    </row>
    <row r="3353" spans="1:6" x14ac:dyDescent="0.25">
      <c r="B3353" s="262"/>
    </row>
    <row r="3355" spans="1:6" x14ac:dyDescent="0.25">
      <c r="B3355" s="295"/>
    </row>
    <row r="3356" spans="1:6" s="99" customFormat="1" ht="12.75" x14ac:dyDescent="0.2">
      <c r="A3356" s="256"/>
      <c r="B3356" s="274"/>
      <c r="E3356" s="258"/>
      <c r="F3356" s="118"/>
    </row>
    <row r="3357" spans="1:6" s="99" customFormat="1" ht="12.75" x14ac:dyDescent="0.2">
      <c r="A3357" s="256"/>
      <c r="B3357" s="274"/>
      <c r="E3357" s="258"/>
      <c r="F3357" s="118"/>
    </row>
    <row r="3361" spans="1:6" s="99" customFormat="1" ht="12.75" x14ac:dyDescent="0.2">
      <c r="A3361" s="256"/>
      <c r="B3361" s="262"/>
      <c r="E3361" s="258"/>
      <c r="F3361" s="118"/>
    </row>
    <row r="3362" spans="1:6" s="99" customFormat="1" ht="12.75" x14ac:dyDescent="0.2">
      <c r="A3362" s="256"/>
      <c r="B3362" s="274"/>
      <c r="E3362" s="258"/>
      <c r="F3362" s="118"/>
    </row>
    <row r="3363" spans="1:6" s="99" customFormat="1" ht="12.75" x14ac:dyDescent="0.2">
      <c r="A3363" s="256"/>
      <c r="B3363" s="274"/>
      <c r="E3363" s="258"/>
      <c r="F3363" s="118"/>
    </row>
    <row r="3365" spans="1:6" s="99" customFormat="1" ht="12.75" x14ac:dyDescent="0.2">
      <c r="A3365" s="256"/>
      <c r="B3365" s="260"/>
      <c r="E3365" s="258"/>
      <c r="F3365" s="118"/>
    </row>
    <row r="3366" spans="1:6" s="99" customFormat="1" ht="12.75" x14ac:dyDescent="0.2">
      <c r="A3366" s="256"/>
      <c r="B3366" s="260"/>
      <c r="E3366" s="258"/>
      <c r="F3366" s="118"/>
    </row>
    <row r="3367" spans="1:6" s="99" customFormat="1" ht="12.75" x14ac:dyDescent="0.2">
      <c r="A3367" s="256"/>
      <c r="B3367" s="295"/>
      <c r="E3367" s="258"/>
      <c r="F3367" s="118"/>
    </row>
    <row r="3369" spans="1:6" s="99" customFormat="1" ht="12.75" x14ac:dyDescent="0.2">
      <c r="A3369" s="256"/>
      <c r="B3369" s="262"/>
      <c r="E3369" s="258"/>
      <c r="F3369" s="118"/>
    </row>
    <row r="3370" spans="1:6" s="99" customFormat="1" ht="12.75" x14ac:dyDescent="0.2">
      <c r="A3370" s="256"/>
      <c r="B3370" s="274"/>
      <c r="E3370" s="258"/>
      <c r="F3370" s="118"/>
    </row>
    <row r="3371" spans="1:6" s="99" customFormat="1" ht="12.75" x14ac:dyDescent="0.2">
      <c r="A3371" s="256"/>
      <c r="B3371" s="260"/>
      <c r="E3371" s="258"/>
      <c r="F3371" s="118"/>
    </row>
    <row r="3372" spans="1:6" x14ac:dyDescent="0.25">
      <c r="B3372" s="274"/>
    </row>
    <row r="3373" spans="1:6" x14ac:dyDescent="0.25">
      <c r="B3373" s="274"/>
    </row>
    <row r="3374" spans="1:6" x14ac:dyDescent="0.25">
      <c r="B3374" s="274"/>
    </row>
    <row r="3375" spans="1:6" x14ac:dyDescent="0.25">
      <c r="B3375" s="262"/>
    </row>
    <row r="3376" spans="1:6" x14ac:dyDescent="0.25">
      <c r="B3376" s="260"/>
    </row>
    <row r="3377" spans="1:6" x14ac:dyDescent="0.25">
      <c r="B3377" s="260"/>
    </row>
    <row r="3378" spans="1:6" x14ac:dyDescent="0.25">
      <c r="B3378" s="274"/>
    </row>
    <row r="3379" spans="1:6" x14ac:dyDescent="0.25">
      <c r="B3379" s="274"/>
    </row>
    <row r="3380" spans="1:6" x14ac:dyDescent="0.25">
      <c r="B3380" s="260"/>
    </row>
    <row r="3381" spans="1:6" x14ac:dyDescent="0.25">
      <c r="B3381" s="286"/>
    </row>
    <row r="3382" spans="1:6" x14ac:dyDescent="0.25">
      <c r="B3382" s="286"/>
    </row>
    <row r="3383" spans="1:6" x14ac:dyDescent="0.25">
      <c r="B3383" s="286"/>
    </row>
    <row r="3386" spans="1:6" ht="15.75" thickBot="1" x14ac:dyDescent="0.3">
      <c r="A3386" s="264"/>
      <c r="B3386" s="398"/>
      <c r="C3386" s="266"/>
      <c r="D3386" s="266"/>
      <c r="E3386" s="267"/>
      <c r="F3386" s="399"/>
    </row>
    <row r="3387" spans="1:6" x14ac:dyDescent="0.25">
      <c r="A3387" s="400"/>
      <c r="B3387" s="401"/>
      <c r="C3387" s="402"/>
      <c r="D3387" s="402"/>
      <c r="E3387" s="403"/>
      <c r="F3387" s="404"/>
    </row>
    <row r="3389" spans="1:6" x14ac:dyDescent="0.25">
      <c r="B3389" s="123"/>
    </row>
    <row r="3390" spans="1:6" x14ac:dyDescent="0.25">
      <c r="B3390" s="260"/>
    </row>
    <row r="3391" spans="1:6" x14ac:dyDescent="0.25">
      <c r="B3391" s="262"/>
    </row>
    <row r="3392" spans="1:6" x14ac:dyDescent="0.25">
      <c r="B3392" s="274"/>
    </row>
    <row r="3393" spans="1:6" x14ac:dyDescent="0.25">
      <c r="B3393" s="262"/>
    </row>
    <row r="3396" spans="1:6" ht="15.75" thickBot="1" x14ac:dyDescent="0.3">
      <c r="A3396" s="264"/>
      <c r="B3396" s="398"/>
      <c r="C3396" s="266"/>
      <c r="D3396" s="266"/>
      <c r="E3396" s="267"/>
      <c r="F3396" s="399"/>
    </row>
    <row r="3398" spans="1:6" x14ac:dyDescent="0.25">
      <c r="B3398" s="276"/>
    </row>
    <row r="3400" spans="1:6" x14ac:dyDescent="0.25">
      <c r="B3400" s="276"/>
    </row>
    <row r="3402" spans="1:6" x14ac:dyDescent="0.25">
      <c r="B3402" s="276"/>
    </row>
    <row r="3404" spans="1:6" s="99" customFormat="1" ht="12.75" x14ac:dyDescent="0.25">
      <c r="A3404" s="256"/>
      <c r="B3404" s="276"/>
      <c r="E3404" s="258"/>
      <c r="F3404" s="118"/>
    </row>
    <row r="3409" spans="1:6" s="99" customFormat="1" ht="12.75" x14ac:dyDescent="0.2">
      <c r="A3409" s="256"/>
      <c r="B3409" s="274"/>
      <c r="E3409" s="258"/>
      <c r="F3409" s="118"/>
    </row>
    <row r="3410" spans="1:6" s="99" customFormat="1" ht="12.75" x14ac:dyDescent="0.2">
      <c r="A3410" s="256"/>
      <c r="B3410" s="274"/>
      <c r="E3410" s="258"/>
      <c r="F3410" s="118"/>
    </row>
    <row r="3411" spans="1:6" s="99" customFormat="1" ht="12.75" x14ac:dyDescent="0.2">
      <c r="A3411" s="256"/>
      <c r="B3411" s="295"/>
      <c r="E3411" s="258"/>
      <c r="F3411" s="118"/>
    </row>
    <row r="3412" spans="1:6" s="99" customFormat="1" ht="12.75" x14ac:dyDescent="0.2">
      <c r="A3412" s="256"/>
      <c r="B3412" s="274"/>
      <c r="E3412" s="258"/>
      <c r="F3412" s="118"/>
    </row>
    <row r="3413" spans="1:6" s="99" customFormat="1" ht="12.75" x14ac:dyDescent="0.2">
      <c r="A3413" s="256"/>
      <c r="B3413" s="274"/>
      <c r="E3413" s="258"/>
      <c r="F3413" s="118"/>
    </row>
    <row r="3420" spans="1:6" ht="15.75" thickBot="1" x14ac:dyDescent="0.3">
      <c r="A3420" s="264"/>
      <c r="B3420" s="406"/>
      <c r="C3420" s="266"/>
      <c r="D3420" s="266"/>
      <c r="E3420" s="267"/>
      <c r="F3420" s="399"/>
    </row>
    <row r="3421" spans="1:6" x14ac:dyDescent="0.25">
      <c r="A3421" s="400"/>
      <c r="B3421" s="401"/>
      <c r="C3421" s="402"/>
      <c r="D3421" s="402"/>
      <c r="E3421" s="403"/>
      <c r="F3421" s="404"/>
    </row>
    <row r="3422" spans="1:6" x14ac:dyDescent="0.25">
      <c r="B3422" s="276"/>
    </row>
    <row r="3423" spans="1:6" x14ac:dyDescent="0.25">
      <c r="B3423" s="276"/>
    </row>
    <row r="3424" spans="1:6" x14ac:dyDescent="0.25">
      <c r="B3424" s="275"/>
    </row>
    <row r="3425" spans="1:6" x14ac:dyDescent="0.25">
      <c r="B3425" s="276"/>
    </row>
    <row r="3426" spans="1:6" x14ac:dyDescent="0.25">
      <c r="B3426" s="275"/>
    </row>
    <row r="3427" spans="1:6" x14ac:dyDescent="0.25">
      <c r="B3427" s="276"/>
    </row>
    <row r="3428" spans="1:6" x14ac:dyDescent="0.25">
      <c r="B3428" s="275"/>
    </row>
    <row r="3429" spans="1:6" x14ac:dyDescent="0.25">
      <c r="B3429" s="276"/>
    </row>
    <row r="3430" spans="1:6" x14ac:dyDescent="0.25">
      <c r="B3430" s="276"/>
    </row>
    <row r="3431" spans="1:6" x14ac:dyDescent="0.25">
      <c r="B3431" s="276"/>
    </row>
    <row r="3432" spans="1:6" x14ac:dyDescent="0.25">
      <c r="B3432" s="276"/>
    </row>
    <row r="3433" spans="1:6" x14ac:dyDescent="0.25">
      <c r="B3433" s="276"/>
    </row>
    <row r="3434" spans="1:6" x14ac:dyDescent="0.25">
      <c r="B3434" s="276"/>
    </row>
    <row r="3435" spans="1:6" x14ac:dyDescent="0.25">
      <c r="B3435" s="276"/>
    </row>
    <row r="3436" spans="1:6" s="99" customFormat="1" ht="12.75" x14ac:dyDescent="0.25">
      <c r="A3436" s="256"/>
      <c r="B3436" s="276"/>
      <c r="E3436" s="258"/>
      <c r="F3436" s="118"/>
    </row>
    <row r="3437" spans="1:6" s="99" customFormat="1" ht="12.75" x14ac:dyDescent="0.25">
      <c r="A3437" s="256"/>
      <c r="B3437" s="276"/>
      <c r="E3437" s="258"/>
      <c r="F3437" s="118"/>
    </row>
    <row r="3438" spans="1:6" s="99" customFormat="1" ht="12.75" x14ac:dyDescent="0.25">
      <c r="A3438" s="256"/>
      <c r="B3438" s="276"/>
      <c r="E3438" s="258"/>
      <c r="F3438" s="118"/>
    </row>
    <row r="3439" spans="1:6" s="99" customFormat="1" ht="12.75" x14ac:dyDescent="0.25">
      <c r="A3439" s="256"/>
      <c r="B3439" s="276"/>
      <c r="E3439" s="258"/>
      <c r="F3439" s="118"/>
    </row>
    <row r="3440" spans="1:6" s="99" customFormat="1" ht="12.75" x14ac:dyDescent="0.25">
      <c r="A3440" s="256"/>
      <c r="B3440" s="276"/>
      <c r="E3440" s="258"/>
      <c r="F3440" s="118"/>
    </row>
    <row r="3441" spans="1:6" s="99" customFormat="1" ht="12.75" x14ac:dyDescent="0.25">
      <c r="A3441" s="256"/>
      <c r="B3441" s="276"/>
      <c r="E3441" s="258"/>
      <c r="F3441" s="118"/>
    </row>
    <row r="3442" spans="1:6" s="99" customFormat="1" ht="12.75" x14ac:dyDescent="0.25">
      <c r="A3442" s="256"/>
      <c r="B3442" s="276"/>
      <c r="E3442" s="258"/>
      <c r="F3442" s="118"/>
    </row>
    <row r="3443" spans="1:6" s="99" customFormat="1" ht="12.75" x14ac:dyDescent="0.25">
      <c r="A3443" s="256"/>
      <c r="B3443" s="276"/>
      <c r="E3443" s="258"/>
      <c r="F3443" s="118"/>
    </row>
    <row r="3444" spans="1:6" s="99" customFormat="1" ht="12.75" x14ac:dyDescent="0.25">
      <c r="A3444" s="256"/>
      <c r="B3444" s="276"/>
      <c r="E3444" s="258"/>
      <c r="F3444" s="118"/>
    </row>
    <row r="3445" spans="1:6" s="99" customFormat="1" ht="12.75" x14ac:dyDescent="0.25">
      <c r="A3445" s="256"/>
      <c r="B3445" s="276"/>
      <c r="E3445" s="258"/>
      <c r="F3445" s="118"/>
    </row>
    <row r="3446" spans="1:6" s="99" customFormat="1" ht="12.75" x14ac:dyDescent="0.25">
      <c r="A3446" s="256"/>
      <c r="B3446" s="276"/>
      <c r="E3446" s="258"/>
      <c r="F3446" s="118"/>
    </row>
    <row r="3447" spans="1:6" s="99" customFormat="1" ht="12.75" x14ac:dyDescent="0.25">
      <c r="A3447" s="256"/>
      <c r="B3447" s="276"/>
      <c r="E3447" s="258"/>
      <c r="F3447" s="118"/>
    </row>
    <row r="3448" spans="1:6" s="99" customFormat="1" ht="12.75" x14ac:dyDescent="0.25">
      <c r="A3448" s="256"/>
      <c r="B3448" s="276"/>
      <c r="E3448" s="258"/>
      <c r="F3448" s="118"/>
    </row>
    <row r="3449" spans="1:6" s="99" customFormat="1" ht="12.75" x14ac:dyDescent="0.25">
      <c r="A3449" s="256"/>
      <c r="B3449" s="276"/>
      <c r="E3449" s="258"/>
      <c r="F3449" s="118"/>
    </row>
    <row r="3450" spans="1:6" s="99" customFormat="1" ht="12.75" x14ac:dyDescent="0.25">
      <c r="A3450" s="256"/>
      <c r="B3450" s="276"/>
      <c r="E3450" s="258"/>
      <c r="F3450" s="118"/>
    </row>
    <row r="3451" spans="1:6" s="99" customFormat="1" ht="12.75" x14ac:dyDescent="0.25">
      <c r="A3451" s="256"/>
      <c r="B3451" s="276"/>
      <c r="E3451" s="258"/>
      <c r="F3451" s="118"/>
    </row>
    <row r="3452" spans="1:6" x14ac:dyDescent="0.25">
      <c r="B3452" s="276"/>
    </row>
    <row r="3453" spans="1:6" x14ac:dyDescent="0.25">
      <c r="B3453" s="276"/>
    </row>
    <row r="3454" spans="1:6" x14ac:dyDescent="0.25">
      <c r="B3454" s="276"/>
    </row>
    <row r="3455" spans="1:6" x14ac:dyDescent="0.25">
      <c r="B3455" s="276"/>
    </row>
    <row r="3456" spans="1:6" x14ac:dyDescent="0.25">
      <c r="B3456" s="276"/>
    </row>
    <row r="3457" spans="1:6" x14ac:dyDescent="0.25">
      <c r="B3457" s="276"/>
    </row>
    <row r="3458" spans="1:6" x14ac:dyDescent="0.25">
      <c r="B3458" s="276"/>
    </row>
    <row r="3459" spans="1:6" x14ac:dyDescent="0.25">
      <c r="B3459" s="276"/>
    </row>
    <row r="3460" spans="1:6" x14ac:dyDescent="0.25">
      <c r="B3460" s="276"/>
    </row>
    <row r="3461" spans="1:6" x14ac:dyDescent="0.25">
      <c r="B3461" s="276"/>
    </row>
    <row r="3462" spans="1:6" x14ac:dyDescent="0.25">
      <c r="B3462" s="276"/>
    </row>
    <row r="3463" spans="1:6" x14ac:dyDescent="0.25">
      <c r="B3463" s="276"/>
    </row>
    <row r="3464" spans="1:6" x14ac:dyDescent="0.25">
      <c r="B3464" s="276"/>
    </row>
    <row r="3465" spans="1:6" x14ac:dyDescent="0.25">
      <c r="B3465" s="276"/>
    </row>
    <row r="3466" spans="1:6" ht="15.75" thickBot="1" x14ac:dyDescent="0.3">
      <c r="A3466" s="264"/>
      <c r="B3466" s="398"/>
      <c r="C3466" s="266"/>
      <c r="D3466" s="266"/>
      <c r="E3466" s="267"/>
      <c r="F3466" s="399"/>
    </row>
    <row r="3467" spans="1:6" x14ac:dyDescent="0.25">
      <c r="A3467" s="400"/>
      <c r="B3467" s="401"/>
      <c r="C3467" s="402"/>
      <c r="D3467" s="402"/>
      <c r="E3467" s="403"/>
      <c r="F3467" s="404"/>
    </row>
    <row r="3468" spans="1:6" s="99" customFormat="1" ht="12.75" x14ac:dyDescent="0.25">
      <c r="A3468" s="256"/>
      <c r="B3468" s="275"/>
      <c r="E3468" s="258"/>
      <c r="F3468" s="118"/>
    </row>
    <row r="3469" spans="1:6" s="99" customFormat="1" ht="12.75" x14ac:dyDescent="0.25">
      <c r="A3469" s="256"/>
      <c r="B3469" s="331"/>
      <c r="E3469" s="258"/>
      <c r="F3469" s="118"/>
    </row>
    <row r="3470" spans="1:6" s="99" customFormat="1" ht="12.75" x14ac:dyDescent="0.2">
      <c r="A3470" s="256"/>
      <c r="B3470" s="262"/>
      <c r="E3470" s="258"/>
      <c r="F3470" s="118"/>
    </row>
    <row r="3477" spans="1:6" s="99" customFormat="1" ht="12.75" x14ac:dyDescent="0.2">
      <c r="A3477" s="256"/>
      <c r="B3477" s="262"/>
      <c r="E3477" s="258"/>
      <c r="F3477" s="118"/>
    </row>
    <row r="3481" spans="1:6" s="99" customFormat="1" ht="12.75" x14ac:dyDescent="0.2">
      <c r="A3481" s="256"/>
      <c r="B3481" s="123"/>
      <c r="E3481" s="258"/>
      <c r="F3481" s="118"/>
    </row>
    <row r="3483" spans="1:6" s="99" customFormat="1" ht="12.75" x14ac:dyDescent="0.2">
      <c r="A3483" s="256"/>
      <c r="B3483" s="262"/>
      <c r="E3483" s="258"/>
      <c r="F3483" s="118"/>
    </row>
    <row r="3508" spans="1:6" ht="15.75" thickBot="1" x14ac:dyDescent="0.3">
      <c r="A3508" s="264"/>
      <c r="B3508" s="406"/>
      <c r="C3508" s="266"/>
      <c r="D3508" s="266"/>
      <c r="E3508" s="267"/>
      <c r="F3508" s="399"/>
    </row>
    <row r="3509" spans="1:6" x14ac:dyDescent="0.25">
      <c r="A3509" s="400"/>
      <c r="B3509" s="401"/>
      <c r="C3509" s="402"/>
      <c r="D3509" s="402"/>
      <c r="E3509" s="403"/>
      <c r="F3509" s="404"/>
    </row>
    <row r="3515" spans="1:6" x14ac:dyDescent="0.25">
      <c r="B3515" s="295"/>
    </row>
    <row r="3517" spans="1:6" s="99" customFormat="1" ht="12.75" x14ac:dyDescent="0.2">
      <c r="A3517" s="256"/>
      <c r="B3517" s="260"/>
      <c r="E3517" s="258"/>
      <c r="F3517" s="118"/>
    </row>
    <row r="3519" spans="1:6" s="99" customFormat="1" ht="12.75" x14ac:dyDescent="0.2">
      <c r="A3519" s="256"/>
      <c r="B3519" s="260"/>
      <c r="E3519" s="258"/>
      <c r="F3519" s="118"/>
    </row>
    <row r="3520" spans="1:6" s="99" customFormat="1" ht="12.75" x14ac:dyDescent="0.2">
      <c r="A3520" s="256"/>
      <c r="B3520" s="260"/>
      <c r="E3520" s="258"/>
      <c r="F3520" s="118"/>
    </row>
    <row r="3521" spans="1:6" s="99" customFormat="1" ht="12.75" x14ac:dyDescent="0.2">
      <c r="A3521" s="256"/>
      <c r="B3521" s="260"/>
      <c r="E3521" s="258"/>
      <c r="F3521" s="118"/>
    </row>
    <row r="3522" spans="1:6" s="99" customFormat="1" ht="12.75" x14ac:dyDescent="0.2">
      <c r="A3522" s="256"/>
      <c r="B3522" s="260"/>
      <c r="E3522" s="258"/>
      <c r="F3522" s="118"/>
    </row>
    <row r="3523" spans="1:6" s="99" customFormat="1" ht="12.75" x14ac:dyDescent="0.2">
      <c r="A3523" s="256"/>
      <c r="B3523" s="260"/>
      <c r="E3523" s="258"/>
      <c r="F3523" s="118"/>
    </row>
    <row r="3524" spans="1:6" s="99" customFormat="1" ht="12.75" x14ac:dyDescent="0.2">
      <c r="A3524" s="256"/>
      <c r="B3524" s="415"/>
      <c r="E3524" s="258"/>
      <c r="F3524" s="118"/>
    </row>
    <row r="3525" spans="1:6" s="99" customFormat="1" ht="12.75" x14ac:dyDescent="0.2">
      <c r="A3525" s="256"/>
      <c r="B3525" s="318"/>
      <c r="E3525" s="258"/>
      <c r="F3525" s="118"/>
    </row>
    <row r="3526" spans="1:6" s="99" customFormat="1" ht="12.75" x14ac:dyDescent="0.2">
      <c r="A3526" s="256"/>
      <c r="B3526" s="317"/>
      <c r="E3526" s="258"/>
      <c r="F3526" s="118"/>
    </row>
    <row r="3527" spans="1:6" s="99" customFormat="1" ht="12.75" x14ac:dyDescent="0.2">
      <c r="A3527" s="256"/>
      <c r="B3527" s="318"/>
      <c r="E3527" s="258"/>
      <c r="F3527" s="118"/>
    </row>
    <row r="3531" spans="1:6" s="99" customFormat="1" ht="12.75" x14ac:dyDescent="0.2">
      <c r="A3531" s="256"/>
      <c r="B3531" s="295"/>
      <c r="E3531" s="258"/>
      <c r="F3531" s="118"/>
    </row>
    <row r="3532" spans="1:6" x14ac:dyDescent="0.25">
      <c r="B3532" s="260"/>
    </row>
    <row r="3533" spans="1:6" x14ac:dyDescent="0.25">
      <c r="B3533" s="262"/>
    </row>
    <row r="3534" spans="1:6" x14ac:dyDescent="0.25">
      <c r="B3534" s="319"/>
    </row>
    <row r="3535" spans="1:6" ht="15.75" thickBot="1" x14ac:dyDescent="0.3">
      <c r="A3535" s="264"/>
      <c r="B3535" s="406"/>
      <c r="C3535" s="266"/>
      <c r="D3535" s="266"/>
      <c r="E3535" s="267"/>
      <c r="F3535" s="399"/>
    </row>
    <row r="3536" spans="1:6" x14ac:dyDescent="0.25">
      <c r="A3536" s="400"/>
      <c r="B3536" s="401"/>
      <c r="C3536" s="402"/>
      <c r="D3536" s="402"/>
      <c r="E3536" s="403"/>
      <c r="F3536" s="404"/>
    </row>
    <row r="3548" spans="1:6" s="99" customFormat="1" ht="12.75" x14ac:dyDescent="0.2">
      <c r="A3548" s="256"/>
      <c r="B3548" s="123"/>
      <c r="E3548" s="258"/>
      <c r="F3548" s="118"/>
    </row>
    <row r="3562" spans="1:6" s="99" customFormat="1" ht="12.75" x14ac:dyDescent="0.2">
      <c r="A3562" s="256"/>
      <c r="B3562" s="262"/>
      <c r="E3562" s="258"/>
      <c r="F3562" s="118"/>
    </row>
    <row r="3564" spans="1:6" x14ac:dyDescent="0.25">
      <c r="B3564" s="123"/>
    </row>
    <row r="3567" spans="1:6" ht="15.75" thickBot="1" x14ac:dyDescent="0.3">
      <c r="A3567" s="264"/>
      <c r="B3567" s="398"/>
      <c r="C3567" s="266"/>
      <c r="D3567" s="266"/>
      <c r="E3567" s="267"/>
      <c r="F3567" s="399"/>
    </row>
    <row r="3568" spans="1:6" x14ac:dyDescent="0.25">
      <c r="A3568" s="400"/>
      <c r="B3568" s="401"/>
      <c r="C3568" s="402"/>
      <c r="D3568" s="402"/>
      <c r="E3568" s="403"/>
      <c r="F3568" s="404"/>
    </row>
    <row r="3569" spans="1:6" x14ac:dyDescent="0.25">
      <c r="B3569" s="295"/>
    </row>
    <row r="3570" spans="1:6" x14ac:dyDescent="0.25">
      <c r="B3570" s="295"/>
    </row>
    <row r="3571" spans="1:6" x14ac:dyDescent="0.25">
      <c r="B3571" s="260"/>
      <c r="E3571" s="272"/>
    </row>
    <row r="3572" spans="1:6" x14ac:dyDescent="0.25">
      <c r="B3572" s="260"/>
      <c r="E3572" s="272"/>
    </row>
    <row r="3573" spans="1:6" x14ac:dyDescent="0.25">
      <c r="B3573" s="262"/>
      <c r="F3573" s="333"/>
    </row>
    <row r="3574" spans="1:6" x14ac:dyDescent="0.25">
      <c r="F3574" s="333"/>
    </row>
    <row r="3575" spans="1:6" x14ac:dyDescent="0.25">
      <c r="B3575" s="262"/>
      <c r="F3575" s="333"/>
    </row>
    <row r="3576" spans="1:6" x14ac:dyDescent="0.25">
      <c r="F3576" s="333"/>
    </row>
    <row r="3577" spans="1:6" x14ac:dyDescent="0.25">
      <c r="B3577" s="262"/>
      <c r="F3577" s="333"/>
    </row>
    <row r="3578" spans="1:6" x14ac:dyDescent="0.25">
      <c r="F3578" s="333"/>
    </row>
    <row r="3579" spans="1:6" x14ac:dyDescent="0.25">
      <c r="B3579" s="262"/>
      <c r="F3579" s="333"/>
    </row>
    <row r="3580" spans="1:6" x14ac:dyDescent="0.25">
      <c r="B3580" s="295"/>
    </row>
    <row r="3581" spans="1:6" x14ac:dyDescent="0.25">
      <c r="B3581" s="260"/>
    </row>
    <row r="3582" spans="1:6" ht="15.75" thickBot="1" x14ac:dyDescent="0.3">
      <c r="A3582" s="264"/>
      <c r="B3582" s="398"/>
      <c r="C3582" s="266"/>
      <c r="D3582" s="266"/>
      <c r="E3582" s="267"/>
      <c r="F3582" s="399"/>
    </row>
    <row r="3583" spans="1:6" x14ac:dyDescent="0.25">
      <c r="B3583" s="260"/>
    </row>
    <row r="3584" spans="1:6" x14ac:dyDescent="0.25">
      <c r="B3584" s="276"/>
    </row>
    <row r="3585" spans="1:6" x14ac:dyDescent="0.25">
      <c r="B3585" s="274"/>
    </row>
    <row r="3586" spans="1:6" x14ac:dyDescent="0.25">
      <c r="B3586" s="276"/>
    </row>
    <row r="3587" spans="1:6" s="99" customFormat="1" ht="12.75" x14ac:dyDescent="0.2">
      <c r="A3587" s="256"/>
      <c r="B3587" s="260"/>
      <c r="E3587" s="258"/>
      <c r="F3587" s="118"/>
    </row>
    <row r="3588" spans="1:6" s="99" customFormat="1" ht="12.75" x14ac:dyDescent="0.2">
      <c r="A3588" s="256"/>
      <c r="B3588" s="260"/>
      <c r="E3588" s="258"/>
      <c r="F3588" s="118"/>
    </row>
    <row r="3590" spans="1:6" s="99" customFormat="1" ht="12.75" x14ac:dyDescent="0.2">
      <c r="A3590" s="256"/>
      <c r="B3590" s="260"/>
      <c r="E3590" s="258"/>
      <c r="F3590" s="118"/>
    </row>
    <row r="3591" spans="1:6" s="99" customFormat="1" ht="12.75" x14ac:dyDescent="0.2">
      <c r="A3591" s="256"/>
      <c r="B3591" s="260"/>
      <c r="E3591" s="258"/>
      <c r="F3591" s="118"/>
    </row>
    <row r="3592" spans="1:6" s="99" customFormat="1" ht="12.75" x14ac:dyDescent="0.2">
      <c r="A3592" s="256"/>
      <c r="B3592" s="295"/>
      <c r="E3592" s="258"/>
      <c r="F3592" s="118"/>
    </row>
    <row r="3593" spans="1:6" s="99" customFormat="1" ht="12.75" x14ac:dyDescent="0.2">
      <c r="A3593" s="256"/>
      <c r="B3593" s="260"/>
      <c r="E3593" s="258"/>
      <c r="F3593" s="118"/>
    </row>
    <row r="3594" spans="1:6" s="99" customFormat="1" ht="12.75" x14ac:dyDescent="0.2">
      <c r="A3594" s="256"/>
      <c r="B3594" s="260"/>
      <c r="E3594" s="258"/>
      <c r="F3594" s="118"/>
    </row>
    <row r="3595" spans="1:6" s="99" customFormat="1" ht="12.75" x14ac:dyDescent="0.2">
      <c r="A3595" s="256"/>
      <c r="B3595" s="260"/>
      <c r="E3595" s="258"/>
      <c r="F3595" s="118"/>
    </row>
    <row r="3596" spans="1:6" s="99" customFormat="1" ht="12.75" x14ac:dyDescent="0.2">
      <c r="A3596" s="256"/>
      <c r="B3596" s="262"/>
      <c r="E3596" s="258"/>
      <c r="F3596" s="118"/>
    </row>
    <row r="3597" spans="1:6" s="99" customFormat="1" ht="12.75" x14ac:dyDescent="0.2">
      <c r="A3597" s="256"/>
      <c r="B3597" s="260"/>
      <c r="E3597" s="258"/>
      <c r="F3597" s="118"/>
    </row>
    <row r="3598" spans="1:6" s="99" customFormat="1" ht="12.75" x14ac:dyDescent="0.2">
      <c r="A3598" s="256"/>
      <c r="B3598" s="260"/>
      <c r="E3598" s="258"/>
      <c r="F3598" s="118"/>
    </row>
    <row r="3599" spans="1:6" s="99" customFormat="1" ht="12.75" x14ac:dyDescent="0.2">
      <c r="A3599" s="256"/>
      <c r="B3599" s="274"/>
      <c r="E3599" s="258"/>
      <c r="F3599" s="118"/>
    </row>
    <row r="3610" spans="1:6" ht="15.75" thickBot="1" x14ac:dyDescent="0.3">
      <c r="A3610" s="264"/>
      <c r="B3610" s="406"/>
      <c r="C3610" s="266"/>
      <c r="D3610" s="266"/>
      <c r="E3610" s="267"/>
      <c r="F3610" s="399"/>
    </row>
    <row r="3611" spans="1:6" x14ac:dyDescent="0.25">
      <c r="A3611" s="400"/>
      <c r="B3611" s="401"/>
      <c r="C3611" s="402"/>
      <c r="D3611" s="402"/>
      <c r="E3611" s="403"/>
      <c r="F3611" s="404"/>
    </row>
    <row r="3612" spans="1:6" s="99" customFormat="1" ht="12.75" x14ac:dyDescent="0.25">
      <c r="A3612" s="256"/>
      <c r="B3612" s="276"/>
      <c r="E3612" s="258"/>
      <c r="F3612" s="118"/>
    </row>
    <row r="3613" spans="1:6" s="99" customFormat="1" ht="12.75" x14ac:dyDescent="0.25">
      <c r="A3613" s="256"/>
      <c r="B3613" s="276"/>
      <c r="E3613" s="258"/>
      <c r="F3613" s="118"/>
    </row>
    <row r="3614" spans="1:6" s="99" customFormat="1" ht="12.75" x14ac:dyDescent="0.25">
      <c r="A3614" s="256"/>
      <c r="B3614" s="275"/>
      <c r="E3614" s="258"/>
      <c r="F3614" s="118"/>
    </row>
    <row r="3615" spans="1:6" s="99" customFormat="1" ht="12.75" x14ac:dyDescent="0.25">
      <c r="A3615" s="256"/>
      <c r="B3615" s="276"/>
      <c r="E3615" s="258"/>
      <c r="F3615" s="118"/>
    </row>
    <row r="3616" spans="1:6" s="99" customFormat="1" ht="12.75" x14ac:dyDescent="0.25">
      <c r="A3616" s="256"/>
      <c r="B3616" s="275"/>
      <c r="E3616" s="258"/>
      <c r="F3616" s="118"/>
    </row>
    <row r="3617" spans="1:6" s="99" customFormat="1" ht="12.75" x14ac:dyDescent="0.25">
      <c r="A3617" s="256"/>
      <c r="B3617" s="276"/>
      <c r="E3617" s="258"/>
      <c r="F3617" s="118"/>
    </row>
    <row r="3618" spans="1:6" s="99" customFormat="1" ht="12.75" x14ac:dyDescent="0.25">
      <c r="A3618" s="256"/>
      <c r="B3618" s="276"/>
      <c r="E3618" s="258"/>
      <c r="F3618" s="118"/>
    </row>
    <row r="3619" spans="1:6" s="99" customFormat="1" ht="12.75" x14ac:dyDescent="0.25">
      <c r="A3619" s="256"/>
      <c r="B3619" s="276"/>
      <c r="E3619" s="258"/>
      <c r="F3619" s="118"/>
    </row>
    <row r="3620" spans="1:6" s="99" customFormat="1" ht="12.75" x14ac:dyDescent="0.25">
      <c r="A3620" s="256"/>
      <c r="B3620" s="276"/>
      <c r="E3620" s="258"/>
      <c r="F3620" s="118"/>
    </row>
    <row r="3621" spans="1:6" s="99" customFormat="1" ht="12.75" x14ac:dyDescent="0.25">
      <c r="A3621" s="256"/>
      <c r="B3621" s="276"/>
      <c r="E3621" s="258"/>
      <c r="F3621" s="118"/>
    </row>
    <row r="3622" spans="1:6" s="99" customFormat="1" ht="12.75" x14ac:dyDescent="0.25">
      <c r="A3622" s="256"/>
      <c r="B3622" s="276"/>
      <c r="E3622" s="258"/>
      <c r="F3622" s="118"/>
    </row>
    <row r="3623" spans="1:6" s="99" customFormat="1" ht="12.75" x14ac:dyDescent="0.25">
      <c r="A3623" s="256"/>
      <c r="B3623" s="276"/>
      <c r="E3623" s="258"/>
      <c r="F3623" s="118"/>
    </row>
    <row r="3624" spans="1:6" s="99" customFormat="1" ht="12.75" x14ac:dyDescent="0.25">
      <c r="A3624" s="256"/>
      <c r="B3624" s="276"/>
      <c r="E3624" s="258"/>
      <c r="F3624" s="118"/>
    </row>
    <row r="3625" spans="1:6" s="99" customFormat="1" ht="12.75" x14ac:dyDescent="0.25">
      <c r="A3625" s="256"/>
      <c r="B3625" s="276"/>
      <c r="E3625" s="258"/>
      <c r="F3625" s="118"/>
    </row>
    <row r="3626" spans="1:6" s="99" customFormat="1" ht="12.75" x14ac:dyDescent="0.25">
      <c r="A3626" s="256"/>
      <c r="B3626" s="276"/>
      <c r="E3626" s="258"/>
      <c r="F3626" s="118"/>
    </row>
    <row r="3627" spans="1:6" s="99" customFormat="1" ht="12.75" x14ac:dyDescent="0.25">
      <c r="A3627" s="256"/>
      <c r="B3627" s="276"/>
      <c r="E3627" s="258"/>
      <c r="F3627" s="118"/>
    </row>
    <row r="3628" spans="1:6" s="99" customFormat="1" ht="12.75" x14ac:dyDescent="0.25">
      <c r="A3628" s="256"/>
      <c r="B3628" s="276"/>
      <c r="E3628" s="258"/>
      <c r="F3628" s="118"/>
    </row>
    <row r="3629" spans="1:6" s="99" customFormat="1" ht="12.75" x14ac:dyDescent="0.25">
      <c r="A3629" s="256"/>
      <c r="B3629" s="276"/>
      <c r="E3629" s="258"/>
      <c r="F3629" s="118"/>
    </row>
    <row r="3630" spans="1:6" s="99" customFormat="1" ht="12.75" x14ac:dyDescent="0.25">
      <c r="A3630" s="256"/>
      <c r="B3630" s="276"/>
      <c r="E3630" s="258"/>
      <c r="F3630" s="118"/>
    </row>
    <row r="3631" spans="1:6" s="99" customFormat="1" ht="12.75" x14ac:dyDescent="0.25">
      <c r="A3631" s="256"/>
      <c r="B3631" s="276"/>
      <c r="E3631" s="258"/>
      <c r="F3631" s="118"/>
    </row>
    <row r="3632" spans="1:6" s="99" customFormat="1" ht="12.75" x14ac:dyDescent="0.25">
      <c r="A3632" s="256"/>
      <c r="B3632" s="276"/>
      <c r="E3632" s="258"/>
      <c r="F3632" s="118"/>
    </row>
    <row r="3633" spans="1:6" s="99" customFormat="1" ht="12.75" x14ac:dyDescent="0.25">
      <c r="A3633" s="256"/>
      <c r="B3633" s="276"/>
      <c r="E3633" s="258"/>
      <c r="F3633" s="118"/>
    </row>
    <row r="3634" spans="1:6" s="99" customFormat="1" ht="12.75" x14ac:dyDescent="0.25">
      <c r="A3634" s="256"/>
      <c r="B3634" s="276"/>
      <c r="E3634" s="258"/>
      <c r="F3634" s="118"/>
    </row>
    <row r="3635" spans="1:6" s="99" customFormat="1" ht="12.75" x14ac:dyDescent="0.25">
      <c r="A3635" s="256"/>
      <c r="B3635" s="276"/>
      <c r="E3635" s="258"/>
      <c r="F3635" s="118"/>
    </row>
    <row r="3636" spans="1:6" s="99" customFormat="1" ht="12.75" x14ac:dyDescent="0.25">
      <c r="A3636" s="256"/>
      <c r="B3636" s="276"/>
      <c r="E3636" s="258"/>
      <c r="F3636" s="118"/>
    </row>
    <row r="3637" spans="1:6" s="99" customFormat="1" ht="12.75" x14ac:dyDescent="0.25">
      <c r="A3637" s="256"/>
      <c r="B3637" s="276"/>
      <c r="E3637" s="258"/>
      <c r="F3637" s="118"/>
    </row>
    <row r="3638" spans="1:6" s="99" customFormat="1" ht="12.75" x14ac:dyDescent="0.25">
      <c r="A3638" s="256"/>
      <c r="B3638" s="276"/>
      <c r="E3638" s="258"/>
      <c r="F3638" s="118"/>
    </row>
    <row r="3639" spans="1:6" s="99" customFormat="1" ht="12.75" x14ac:dyDescent="0.25">
      <c r="A3639" s="256"/>
      <c r="B3639" s="276"/>
      <c r="E3639" s="258"/>
      <c r="F3639" s="118"/>
    </row>
    <row r="3640" spans="1:6" s="99" customFormat="1" ht="12.75" x14ac:dyDescent="0.25">
      <c r="A3640" s="256"/>
      <c r="B3640" s="276"/>
      <c r="E3640" s="258"/>
      <c r="F3640" s="118"/>
    </row>
    <row r="3641" spans="1:6" s="99" customFormat="1" ht="12.75" x14ac:dyDescent="0.25">
      <c r="A3641" s="256"/>
      <c r="B3641" s="276"/>
      <c r="E3641" s="258"/>
      <c r="F3641" s="118"/>
    </row>
    <row r="3642" spans="1:6" s="99" customFormat="1" ht="12.75" x14ac:dyDescent="0.25">
      <c r="A3642" s="256"/>
      <c r="B3642" s="276"/>
      <c r="E3642" s="258"/>
      <c r="F3642" s="118"/>
    </row>
    <row r="3643" spans="1:6" s="99" customFormat="1" ht="12.75" x14ac:dyDescent="0.25">
      <c r="A3643" s="256"/>
      <c r="B3643" s="276"/>
      <c r="E3643" s="258"/>
      <c r="F3643" s="118"/>
    </row>
    <row r="3644" spans="1:6" x14ac:dyDescent="0.25">
      <c r="B3644" s="276"/>
    </row>
    <row r="3645" spans="1:6" x14ac:dyDescent="0.25">
      <c r="B3645" s="276"/>
    </row>
    <row r="3646" spans="1:6" x14ac:dyDescent="0.25">
      <c r="B3646" s="276"/>
    </row>
    <row r="3647" spans="1:6" x14ac:dyDescent="0.25">
      <c r="B3647" s="276"/>
    </row>
    <row r="3648" spans="1:6" x14ac:dyDescent="0.25">
      <c r="B3648" s="276"/>
    </row>
    <row r="3649" spans="1:6" x14ac:dyDescent="0.25">
      <c r="B3649" s="276"/>
    </row>
    <row r="3650" spans="1:6" x14ac:dyDescent="0.25">
      <c r="B3650" s="276"/>
    </row>
    <row r="3651" spans="1:6" x14ac:dyDescent="0.25">
      <c r="B3651" s="276"/>
    </row>
    <row r="3652" spans="1:6" x14ac:dyDescent="0.25">
      <c r="B3652" s="276"/>
    </row>
    <row r="3653" spans="1:6" x14ac:dyDescent="0.25">
      <c r="B3653" s="276"/>
    </row>
    <row r="3654" spans="1:6" x14ac:dyDescent="0.25">
      <c r="B3654" s="276"/>
    </row>
    <row r="3655" spans="1:6" x14ac:dyDescent="0.25">
      <c r="B3655" s="276"/>
    </row>
    <row r="3656" spans="1:6" ht="15.75" thickBot="1" x14ac:dyDescent="0.3">
      <c r="A3656" s="264"/>
      <c r="B3656" s="398"/>
      <c r="C3656" s="266"/>
      <c r="D3656" s="266"/>
      <c r="E3656" s="267"/>
      <c r="F3656" s="399"/>
    </row>
    <row r="3657" spans="1:6" x14ac:dyDescent="0.25">
      <c r="A3657" s="400"/>
      <c r="B3657" s="401"/>
      <c r="C3657" s="402"/>
      <c r="D3657" s="402"/>
      <c r="E3657" s="403"/>
      <c r="F3657" s="416"/>
    </row>
    <row r="3658" spans="1:6" x14ac:dyDescent="0.25">
      <c r="B3658" s="276"/>
    </row>
    <row r="3659" spans="1:6" x14ac:dyDescent="0.25">
      <c r="B3659" s="276"/>
    </row>
    <row r="3660" spans="1:6" x14ac:dyDescent="0.25">
      <c r="B3660" s="276"/>
    </row>
    <row r="3661" spans="1:6" x14ac:dyDescent="0.25">
      <c r="A3661" s="73"/>
      <c r="B3661" s="178"/>
      <c r="C3661" s="74"/>
      <c r="D3661" s="74"/>
      <c r="E3661" s="75"/>
      <c r="F3661" s="76"/>
    </row>
    <row r="3662" spans="1:6" x14ac:dyDescent="0.25">
      <c r="A3662" s="73"/>
      <c r="B3662" s="153"/>
      <c r="C3662" s="74"/>
      <c r="D3662" s="74"/>
      <c r="E3662" s="75"/>
      <c r="F3662" s="76"/>
    </row>
    <row r="3663" spans="1:6" x14ac:dyDescent="0.25">
      <c r="A3663" s="73"/>
      <c r="B3663" s="90"/>
      <c r="C3663" s="74"/>
      <c r="D3663" s="74"/>
      <c r="E3663" s="75"/>
      <c r="F3663" s="76"/>
    </row>
    <row r="3664" spans="1:6" x14ac:dyDescent="0.25">
      <c r="A3664" s="73"/>
      <c r="B3664" s="90"/>
      <c r="C3664" s="74"/>
      <c r="D3664" s="74"/>
      <c r="E3664" s="75"/>
      <c r="F3664" s="76"/>
    </row>
    <row r="3665" spans="1:6" x14ac:dyDescent="0.25">
      <c r="A3665" s="73"/>
      <c r="B3665" s="90"/>
      <c r="C3665" s="74"/>
      <c r="D3665" s="74"/>
      <c r="E3665" s="75"/>
      <c r="F3665" s="76"/>
    </row>
    <row r="3666" spans="1:6" x14ac:dyDescent="0.25">
      <c r="A3666" s="73"/>
      <c r="B3666" s="90"/>
      <c r="C3666" s="74"/>
      <c r="D3666" s="74"/>
      <c r="E3666" s="75"/>
      <c r="F3666" s="76"/>
    </row>
    <row r="3667" spans="1:6" x14ac:dyDescent="0.25">
      <c r="A3667" s="73"/>
      <c r="B3667" s="90"/>
      <c r="C3667" s="74"/>
      <c r="D3667" s="74"/>
      <c r="E3667" s="75"/>
      <c r="F3667" s="76"/>
    </row>
    <row r="3668" spans="1:6" x14ac:dyDescent="0.25">
      <c r="A3668" s="73"/>
      <c r="B3668" s="90"/>
      <c r="C3668" s="74"/>
      <c r="D3668" s="74"/>
      <c r="E3668" s="75"/>
      <c r="F3668" s="76"/>
    </row>
    <row r="3669" spans="1:6" x14ac:dyDescent="0.25">
      <c r="A3669" s="73"/>
      <c r="B3669" s="90"/>
      <c r="C3669" s="74"/>
      <c r="D3669" s="74"/>
      <c r="E3669" s="75"/>
      <c r="F3669" s="76"/>
    </row>
    <row r="3670" spans="1:6" x14ac:dyDescent="0.25">
      <c r="A3670" s="73"/>
      <c r="B3670" s="90"/>
      <c r="C3670" s="74"/>
      <c r="D3670" s="74"/>
      <c r="E3670" s="75"/>
      <c r="F3670" s="76"/>
    </row>
    <row r="3671" spans="1:6" x14ac:dyDescent="0.25">
      <c r="A3671" s="73"/>
      <c r="B3671" s="90"/>
      <c r="C3671" s="74"/>
      <c r="D3671" s="74"/>
      <c r="E3671" s="75"/>
      <c r="F3671" s="76"/>
    </row>
    <row r="3672" spans="1:6" x14ac:dyDescent="0.25">
      <c r="B3672" s="274"/>
    </row>
    <row r="3673" spans="1:6" x14ac:dyDescent="0.25">
      <c r="B3673" s="274"/>
    </row>
    <row r="3674" spans="1:6" ht="15.75" thickBot="1" x14ac:dyDescent="0.3">
      <c r="B3674" s="274"/>
    </row>
    <row r="3675" spans="1:6" ht="15.75" thickBot="1" x14ac:dyDescent="0.3">
      <c r="A3675" s="378"/>
      <c r="B3675" s="408"/>
      <c r="C3675" s="380"/>
      <c r="D3675" s="380"/>
      <c r="E3675" s="473"/>
      <c r="F3675" s="474"/>
    </row>
    <row r="3676" spans="1:6" x14ac:dyDescent="0.25">
      <c r="A3676" s="381"/>
      <c r="B3676" s="409"/>
      <c r="C3676" s="383"/>
      <c r="D3676" s="383"/>
      <c r="E3676" s="383"/>
      <c r="F3676" s="346"/>
    </row>
    <row r="3677" spans="1:6" s="118" customFormat="1" ht="12.75" x14ac:dyDescent="0.2">
      <c r="A3677" s="385"/>
      <c r="B3677" s="387"/>
      <c r="C3677" s="386"/>
      <c r="D3677" s="386"/>
      <c r="E3677" s="386"/>
    </row>
    <row r="3678" spans="1:6" s="118" customFormat="1" ht="12.75" x14ac:dyDescent="0.2">
      <c r="A3678" s="385"/>
      <c r="B3678" s="387"/>
      <c r="C3678" s="386"/>
      <c r="D3678" s="386"/>
      <c r="E3678" s="386"/>
    </row>
    <row r="3679" spans="1:6" s="118" customFormat="1" ht="12.75" x14ac:dyDescent="0.2">
      <c r="A3679" s="385"/>
      <c r="B3679" s="387"/>
      <c r="C3679" s="386"/>
      <c r="D3679" s="386"/>
      <c r="E3679" s="386"/>
    </row>
    <row r="3680" spans="1:6" s="118" customFormat="1" ht="12.75" x14ac:dyDescent="0.2">
      <c r="A3680" s="385"/>
      <c r="B3680" s="387"/>
      <c r="C3680" s="386"/>
      <c r="D3680" s="386"/>
      <c r="E3680" s="386"/>
    </row>
    <row r="3681" spans="1:5" s="118" customFormat="1" ht="12.75" x14ac:dyDescent="0.2">
      <c r="A3681" s="385"/>
      <c r="B3681" s="387"/>
      <c r="C3681" s="386"/>
      <c r="D3681" s="386"/>
      <c r="E3681" s="386"/>
    </row>
    <row r="3682" spans="1:5" s="118" customFormat="1" ht="12.75" x14ac:dyDescent="0.2">
      <c r="A3682" s="385"/>
      <c r="B3682" s="387"/>
      <c r="C3682" s="386"/>
      <c r="D3682" s="386"/>
      <c r="E3682" s="386"/>
    </row>
    <row r="3683" spans="1:5" s="118" customFormat="1" ht="12.75" x14ac:dyDescent="0.2">
      <c r="A3683" s="385"/>
      <c r="B3683" s="387"/>
      <c r="C3683" s="386"/>
      <c r="D3683" s="386"/>
      <c r="E3683" s="386"/>
    </row>
    <row r="3684" spans="1:5" s="118" customFormat="1" ht="12.75" x14ac:dyDescent="0.2">
      <c r="A3684" s="385"/>
      <c r="B3684" s="387"/>
      <c r="C3684" s="386"/>
      <c r="D3684" s="386"/>
      <c r="E3684" s="386"/>
    </row>
    <row r="3685" spans="1:5" s="118" customFormat="1" ht="12.75" x14ac:dyDescent="0.2">
      <c r="A3685" s="385"/>
      <c r="B3685" s="387"/>
      <c r="C3685" s="386"/>
      <c r="D3685" s="386"/>
      <c r="E3685" s="386"/>
    </row>
    <row r="3686" spans="1:5" s="118" customFormat="1" ht="12.75" x14ac:dyDescent="0.2">
      <c r="A3686" s="385"/>
      <c r="B3686" s="387"/>
      <c r="C3686" s="386"/>
      <c r="D3686" s="386"/>
      <c r="E3686" s="386"/>
    </row>
    <row r="3687" spans="1:5" s="118" customFormat="1" ht="12.75" x14ac:dyDescent="0.25">
      <c r="A3687" s="385"/>
      <c r="B3687" s="396"/>
      <c r="C3687" s="386"/>
      <c r="D3687" s="386"/>
      <c r="E3687" s="386"/>
    </row>
    <row r="3688" spans="1:5" s="118" customFormat="1" ht="12.75" x14ac:dyDescent="0.25">
      <c r="A3688" s="385"/>
      <c r="B3688" s="367"/>
      <c r="C3688" s="386"/>
      <c r="D3688" s="386"/>
      <c r="E3688" s="386"/>
    </row>
    <row r="3689" spans="1:5" s="118" customFormat="1" ht="12.75" x14ac:dyDescent="0.25">
      <c r="A3689" s="385"/>
      <c r="B3689" s="367"/>
      <c r="C3689" s="386"/>
      <c r="D3689" s="386"/>
      <c r="E3689" s="386"/>
    </row>
    <row r="3690" spans="1:5" s="118" customFormat="1" ht="12.75" x14ac:dyDescent="0.25">
      <c r="A3690" s="385"/>
      <c r="B3690" s="367"/>
      <c r="C3690" s="386"/>
      <c r="D3690" s="386"/>
      <c r="E3690" s="386"/>
    </row>
    <row r="3691" spans="1:5" s="118" customFormat="1" ht="12.75" x14ac:dyDescent="0.25">
      <c r="A3691" s="385"/>
      <c r="B3691" s="367"/>
      <c r="C3691" s="386"/>
      <c r="D3691" s="386"/>
      <c r="E3691" s="386"/>
    </row>
    <row r="3692" spans="1:5" s="118" customFormat="1" ht="12.75" x14ac:dyDescent="0.25">
      <c r="A3692" s="385"/>
      <c r="B3692" s="367"/>
      <c r="C3692" s="386"/>
      <c r="D3692" s="386"/>
      <c r="E3692" s="386"/>
    </row>
    <row r="3693" spans="1:5" s="118" customFormat="1" ht="12.75" x14ac:dyDescent="0.25">
      <c r="A3693" s="385"/>
      <c r="B3693" s="367"/>
      <c r="C3693" s="386"/>
      <c r="D3693" s="386"/>
      <c r="E3693" s="386"/>
    </row>
    <row r="3694" spans="1:5" s="118" customFormat="1" ht="12.75" x14ac:dyDescent="0.25">
      <c r="A3694" s="385"/>
      <c r="B3694" s="367"/>
      <c r="C3694" s="386"/>
      <c r="D3694" s="386"/>
      <c r="E3694" s="386"/>
    </row>
    <row r="3695" spans="1:5" s="118" customFormat="1" ht="12.75" x14ac:dyDescent="0.25">
      <c r="A3695" s="385"/>
      <c r="B3695" s="367"/>
      <c r="C3695" s="386"/>
      <c r="D3695" s="386"/>
      <c r="E3695" s="386"/>
    </row>
    <row r="3696" spans="1:5" s="118" customFormat="1" ht="12.75" x14ac:dyDescent="0.25">
      <c r="A3696" s="385"/>
      <c r="B3696" s="367"/>
      <c r="C3696" s="386"/>
      <c r="D3696" s="386"/>
      <c r="E3696" s="386"/>
    </row>
    <row r="3697" spans="1:5" s="118" customFormat="1" ht="12.75" x14ac:dyDescent="0.25">
      <c r="A3697" s="385"/>
      <c r="B3697" s="367"/>
      <c r="C3697" s="386"/>
      <c r="D3697" s="386"/>
      <c r="E3697" s="386"/>
    </row>
    <row r="3698" spans="1:5" s="118" customFormat="1" ht="12.75" x14ac:dyDescent="0.25">
      <c r="A3698" s="385"/>
      <c r="B3698" s="367"/>
      <c r="C3698" s="386"/>
      <c r="D3698" s="386"/>
      <c r="E3698" s="386"/>
    </row>
    <row r="3699" spans="1:5" s="118" customFormat="1" ht="12.75" x14ac:dyDescent="0.25">
      <c r="A3699" s="385"/>
      <c r="B3699" s="367"/>
      <c r="C3699" s="386"/>
      <c r="D3699" s="386"/>
      <c r="E3699" s="386"/>
    </row>
    <row r="3700" spans="1:5" s="118" customFormat="1" ht="12.75" x14ac:dyDescent="0.25">
      <c r="A3700" s="385"/>
      <c r="B3700" s="367"/>
      <c r="C3700" s="386"/>
      <c r="D3700" s="386"/>
      <c r="E3700" s="386"/>
    </row>
    <row r="3701" spans="1:5" s="118" customFormat="1" ht="12.75" x14ac:dyDescent="0.25">
      <c r="A3701" s="385"/>
      <c r="B3701" s="367"/>
      <c r="C3701" s="386"/>
      <c r="D3701" s="386"/>
      <c r="E3701" s="386"/>
    </row>
    <row r="3702" spans="1:5" s="118" customFormat="1" ht="12.75" x14ac:dyDescent="0.25">
      <c r="A3702" s="385"/>
      <c r="B3702" s="367"/>
      <c r="C3702" s="386"/>
      <c r="D3702" s="386"/>
      <c r="E3702" s="386"/>
    </row>
  </sheetData>
  <mergeCells count="3">
    <mergeCell ref="E1976:F1976"/>
    <mergeCell ref="E2299:F2299"/>
    <mergeCell ref="E3675:F3675"/>
  </mergeCells>
  <pageMargins left="0.7" right="0.7" top="0.75" bottom="0.75" header="0.3" footer="0.3"/>
  <pageSetup orientation="portrait" r:id="rId1"/>
  <headerFooter>
    <oddHeader>&amp;L&amp;"Tahoma,Italic"&amp;9Bill of Quantities
&amp;D</oddHeader>
    <oddFooter>&amp;L&amp;"Tahoma,Italic"&amp;9Proposed Swimming Pool at Enkapune Cowbow Park- Kajiado&amp;R&amp;"Tahoma,Regular"&amp;9PC/PS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9"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15AD74-B544-4324-8784-9A6FBC358A5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Builder's work</vt:lpstr>
      <vt:lpstr>GS (2)</vt:lpstr>
      <vt:lpstr>PC</vt:lpstr>
      <vt:lpstr>Sheet1</vt:lpstr>
      <vt:lpstr>'Builder''s work'!Print_Area</vt:lpstr>
      <vt:lpstr>'GS (2)'!Print_Area</vt:lpstr>
      <vt:lpstr>PC!Print_Area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WAITHAKA</dc:creator>
  <cp:lastModifiedBy>Dennis Chomba</cp:lastModifiedBy>
  <cp:lastPrinted>2024-04-19T11:38:42Z</cp:lastPrinted>
  <dcterms:created xsi:type="dcterms:W3CDTF">2015-06-05T18:17:20Z</dcterms:created>
  <dcterms:modified xsi:type="dcterms:W3CDTF">2026-07-15T15:33:34Z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{8215AD74-B544-4324-8784-9A6FBC358A5B}</vt:lpwstr>
  </property>
</Properties>
</file>